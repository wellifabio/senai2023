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ellington\senai2023\google_cloud\diarios2023\"/>
    </mc:Choice>
  </mc:AlternateContent>
  <xr:revisionPtr revIDLastSave="0" documentId="13_ncr:1_{4251CAC4-3DFF-4E21-9D63-B83E80597730}" xr6:coauthVersionLast="47" xr6:coauthVersionMax="47" xr10:uidLastSave="{00000000-0000-0000-0000-000000000000}"/>
  <bookViews>
    <workbookView xWindow="2115" yWindow="2115" windowWidth="21600" windowHeight="11385" tabRatio="912" xr2:uid="{00000000-000D-0000-FFFF-FFFF00000000}"/>
  </bookViews>
  <sheets>
    <sheet name="FD 4 A 19 OUT" sheetId="1" r:id="rId1"/>
    <sheet name="VD 4 a 19OUT" sheetId="2" r:id="rId2"/>
  </sheets>
  <definedNames>
    <definedName name="_xlnm.Print_Area" localSheetId="0">'FD 4 A 19 OUT'!$A$2:$Y$44</definedName>
    <definedName name="_xlnm.Print_Area" localSheetId="1">'VD 4 a 19OUT'!$A$1:$AU$43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4" i="2" l="1"/>
  <c r="AW4" i="2"/>
  <c r="AR5" i="2"/>
  <c r="AW5" i="2"/>
  <c r="AX5" i="2"/>
  <c r="AR6" i="2"/>
  <c r="AW6" i="2"/>
  <c r="AX6" i="2"/>
  <c r="AR7" i="2"/>
  <c r="AW7" i="2"/>
  <c r="AX7" i="2"/>
  <c r="AR8" i="2"/>
  <c r="AW8" i="2"/>
  <c r="AX8" i="2"/>
  <c r="AR9" i="2"/>
  <c r="AW9" i="2"/>
  <c r="AX9" i="2"/>
  <c r="AR10" i="2"/>
  <c r="AW10" i="2"/>
  <c r="AX10" i="2"/>
  <c r="AR11" i="2"/>
  <c r="AW11" i="2"/>
  <c r="AX11" i="2"/>
  <c r="AR12" i="2"/>
  <c r="AW12" i="2"/>
  <c r="AX12" i="2"/>
  <c r="AR13" i="2"/>
  <c r="AW13" i="2"/>
  <c r="AX13" i="2"/>
  <c r="AR14" i="2"/>
  <c r="AW14" i="2"/>
  <c r="AX14" i="2"/>
  <c r="AR15" i="2"/>
  <c r="AW15" i="2"/>
  <c r="AX15" i="2"/>
  <c r="AR16" i="2"/>
  <c r="AW16" i="2"/>
  <c r="AX16" i="2"/>
  <c r="AR17" i="2"/>
  <c r="AW17" i="2"/>
  <c r="AX17" i="2"/>
  <c r="AW18" i="2"/>
  <c r="AX18" i="2"/>
  <c r="AW19" i="2"/>
  <c r="AX19" i="2"/>
  <c r="AW20" i="2"/>
  <c r="AX20" i="2"/>
  <c r="AW21" i="2"/>
  <c r="AX21" i="2"/>
  <c r="AW22" i="2"/>
  <c r="AX22" i="2"/>
  <c r="AW23" i="2"/>
  <c r="AX23" i="2"/>
  <c r="AW24" i="2"/>
  <c r="AX24" i="2"/>
  <c r="AW25" i="2"/>
  <c r="AX25" i="2"/>
  <c r="AW26" i="2"/>
  <c r="AX26" i="2"/>
  <c r="AW27" i="2"/>
  <c r="AX27" i="2"/>
  <c r="AW28" i="2"/>
  <c r="AX28" i="2"/>
  <c r="AW29" i="2"/>
  <c r="AX29" i="2"/>
  <c r="AW30" i="2"/>
  <c r="AX30" i="2"/>
  <c r="AW31" i="2"/>
  <c r="AX31" i="2"/>
  <c r="AW32" i="2"/>
  <c r="AX32" i="2"/>
  <c r="AW33" i="2"/>
  <c r="AX33" i="2"/>
  <c r="AW34" i="2"/>
  <c r="AX34" i="2"/>
  <c r="AX4" i="2"/>
  <c r="BA4" i="2"/>
</calcChain>
</file>

<file path=xl/sharedStrings.xml><?xml version="1.0" encoding="utf-8"?>
<sst xmlns="http://schemas.openxmlformats.org/spreadsheetml/2006/main" count="673" uniqueCount="83">
  <si>
    <t>DATA</t>
  </si>
  <si>
    <t>HORAS</t>
  </si>
  <si>
    <t>CAPACIDADE TÉCNICA</t>
  </si>
  <si>
    <t xml:space="preserve">ESCOLA SENAI " Jaguariúna "        Rua Anesia Venturini Zani, 62  </t>
  </si>
  <si>
    <t>Organização das turmas e obtenção dos créditos</t>
  </si>
  <si>
    <t xml:space="preserve">(19) 3837-6300 </t>
  </si>
  <si>
    <t>Criar e gerenciar recursos de nuvem</t>
  </si>
  <si>
    <t>DIÁRIO DE CLASSE</t>
  </si>
  <si>
    <t>FORMAÇÃO INICIAL E CONTINUADA</t>
  </si>
  <si>
    <t>Executar tarefas de infra básica</t>
  </si>
  <si>
    <t>N° Proposta / Ano</t>
  </si>
  <si>
    <t>Local de Realização</t>
  </si>
  <si>
    <t>Tipo de Atendimento</t>
  </si>
  <si>
    <t>Turma</t>
  </si>
  <si>
    <t>Emissão</t>
  </si>
  <si>
    <t>ESCOLA</t>
  </si>
  <si>
    <t>GooglCl.GR_AN3</t>
  </si>
  <si>
    <t>Construir e proteger redes</t>
  </si>
  <si>
    <t>Curso:</t>
  </si>
  <si>
    <t xml:space="preserve"> Implantação de Serviços em Nuvem - Google Cloud Foundations</t>
  </si>
  <si>
    <t>Docente:</t>
  </si>
  <si>
    <t>Executar tarefas de Dados, ML e IA</t>
  </si>
  <si>
    <t>WELLINGTON FABIO DE OLIVEIRA MARTINS</t>
  </si>
  <si>
    <t>Início Previsto do Curso</t>
  </si>
  <si>
    <t>Dias da Semana e Horário</t>
  </si>
  <si>
    <t>Término Previsto</t>
  </si>
  <si>
    <t>Horas (Previsto)</t>
  </si>
  <si>
    <t>Responsável na Escola</t>
  </si>
  <si>
    <t>Cliente</t>
  </si>
  <si>
    <t>Informação para Pagamento do Docente</t>
  </si>
  <si>
    <t>Período</t>
  </si>
  <si>
    <t>Total de Horas</t>
  </si>
  <si>
    <t>Valor Hora</t>
  </si>
  <si>
    <t>Representante da Escola</t>
  </si>
  <si>
    <t>___/___/___</t>
  </si>
  <si>
    <t>à</t>
  </si>
  <si>
    <t>Início Efetivo</t>
  </si>
  <si>
    <t>Término Efetivo</t>
  </si>
  <si>
    <t>Horas (Realizado)</t>
  </si>
  <si>
    <t>Nº de ordem</t>
  </si>
  <si>
    <t>Nome do Treinado</t>
  </si>
  <si>
    <t>Mês</t>
  </si>
  <si>
    <t>Setembro</t>
  </si>
  <si>
    <t>Outubro</t>
  </si>
  <si>
    <t>Novembro</t>
  </si>
  <si>
    <t>Dezembro</t>
  </si>
  <si>
    <t>Faltas
(Horas)</t>
  </si>
  <si>
    <t>Nota</t>
  </si>
  <si>
    <t>Nº de Ordem</t>
  </si>
  <si>
    <t>Resultado Final</t>
  </si>
  <si>
    <t>% de Faltas do aluno</t>
  </si>
  <si>
    <t>Condição de Presença</t>
  </si>
  <si>
    <t>% DE AUSÊNCIA DA TURMA</t>
  </si>
  <si>
    <t>CARGA HORARIA TOTAL DO CURSO</t>
  </si>
  <si>
    <t>Dias</t>
  </si>
  <si>
    <t>Bianca Barbosa de Almeida</t>
  </si>
  <si>
    <t>.</t>
  </si>
  <si>
    <t>|</t>
  </si>
  <si>
    <t>N</t>
  </si>
  <si>
    <t>Eduardo Aruera Rebouças *03/10/2023</t>
  </si>
  <si>
    <t>E</t>
  </si>
  <si>
    <t>Eloá Emanuele Matos Pauloski</t>
  </si>
  <si>
    <t>Enzo Selin Santos</t>
  </si>
  <si>
    <t>C</t>
  </si>
  <si>
    <t>Flavia Pyetra Fidelisa</t>
  </si>
  <si>
    <t>Gustavo Alves Pereira</t>
  </si>
  <si>
    <t>João Elias dos Santos Pereira</t>
  </si>
  <si>
    <t>Johann Victor Brito Riciopo</t>
  </si>
  <si>
    <t>Lais de Almeida Brito</t>
  </si>
  <si>
    <t>Maria Julia Benicio Batista</t>
  </si>
  <si>
    <t>Mikaelly Goms de Sá</t>
  </si>
  <si>
    <t>Sabryna Carvalho de Sousa</t>
  </si>
  <si>
    <t>Lais Alves Pupo</t>
  </si>
  <si>
    <t>Eduardo Santos Rocha</t>
  </si>
  <si>
    <r>
      <t xml:space="preserve">Representante do Cliente
</t>
    </r>
    <r>
      <rPr>
        <sz val="8"/>
        <rFont val="Arial"/>
        <family val="2"/>
      </rPr>
      <t>O curso foi realizado conforme apontado neste relatório.</t>
    </r>
  </si>
  <si>
    <t>Nome: __________________________________</t>
  </si>
  <si>
    <t>RG.:   __________________________________</t>
  </si>
  <si>
    <t>Assinatura do Responsável
da Empresa</t>
  </si>
  <si>
    <t>Assinatura do
Docente</t>
  </si>
  <si>
    <t>Assinatura do Responsável
da Escola</t>
  </si>
  <si>
    <t>* Aluno Evadido ** Aluno Dispensado *** Trancamento ****Aluno Transferido</t>
  </si>
  <si>
    <t>Resultado Final:               C = Certificado             N = Não Certificado              E = Evadido             T = Transferido</t>
  </si>
  <si>
    <t>Terça-feira -13:00 Até 17:00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</si>
</sst>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21" x14ac:knownFonts="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8"/>
      <name val="Tahoma"/>
      <family val="2"/>
    </font>
    <font>
      <sz val="9"/>
      <name val="Arial"/>
      <family val="2"/>
    </font>
    <font>
      <i/>
      <sz val="14"/>
      <name val="Comic Sans MS"/>
      <family val="4"/>
    </font>
    <font>
      <i/>
      <sz val="8"/>
      <name val="Comic Sans MS"/>
      <family val="4"/>
    </font>
    <font>
      <i/>
      <sz val="9"/>
      <name val="Arial"/>
      <family val="2"/>
    </font>
    <font>
      <sz val="5"/>
      <name val="Arial"/>
      <family val="2"/>
    </font>
    <font>
      <sz val="8"/>
      <color indexed="8"/>
      <name val="Arial"/>
      <family val="2"/>
    </font>
    <font>
      <sz val="6"/>
      <name val="Arial"/>
      <family val="2"/>
    </font>
    <font>
      <sz val="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i/>
      <sz val="10"/>
      <name val="Comic Sans MS"/>
      <family val="4"/>
    </font>
    <font>
      <b/>
      <u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thin">
        <color rgb="FF000000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9" fontId="17" fillId="0" borderId="0" applyFill="0" applyBorder="0" applyAlignment="0" applyProtection="0"/>
  </cellStyleXfs>
  <cellXfs count="105">
    <xf numFmtId="0" fontId="0" fillId="0" borderId="0" xfId="0"/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top" wrapText="1"/>
    </xf>
    <xf numFmtId="0" fontId="3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top" wrapText="1"/>
    </xf>
    <xf numFmtId="0" fontId="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9" fontId="1" fillId="2" borderId="0" xfId="1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9" fontId="1" fillId="2" borderId="1" xfId="1" applyFont="1" applyFill="1" applyBorder="1" applyAlignment="1" applyProtection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20" xfId="0" applyFont="1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19" fillId="2" borderId="8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vertical="center"/>
    </xf>
    <xf numFmtId="14" fontId="6" fillId="2" borderId="9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14" fontId="2" fillId="2" borderId="9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2" fillId="2" borderId="14" xfId="0" applyFont="1" applyFill="1" applyBorder="1" applyAlignment="1">
      <alignment horizontal="left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indent="1"/>
    </xf>
    <xf numFmtId="0" fontId="1" fillId="2" borderId="9" xfId="0" applyFont="1" applyFill="1" applyBorder="1" applyAlignment="1">
      <alignment horizontal="left" vertical="center" indent="1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/>
    </xf>
    <xf numFmtId="0" fontId="1" fillId="2" borderId="13" xfId="0" applyFont="1" applyFill="1" applyBorder="1"/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/>
      <protection locked="0"/>
    </xf>
    <xf numFmtId="14" fontId="1" fillId="2" borderId="9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19" xfId="0" applyFont="1" applyFill="1" applyBorder="1" applyAlignment="1">
      <alignment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left" vertical="top"/>
    </xf>
    <xf numFmtId="0" fontId="11" fillId="2" borderId="1" xfId="0" applyFont="1" applyFill="1" applyBorder="1" applyAlignment="1">
      <alignment horizontal="center" vertical="center" wrapText="1"/>
    </xf>
    <xf numFmtId="0" fontId="11" fillId="2" borderId="17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9" fontId="1" fillId="2" borderId="1" xfId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gem" xfId="1" builtinId="5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21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9525</xdr:rowOff>
    </xdr:from>
    <xdr:to>
      <xdr:col>8</xdr:col>
      <xdr:colOff>219075</xdr:colOff>
      <xdr:row>1</xdr:row>
      <xdr:rowOff>333375</xdr:rowOff>
    </xdr:to>
    <xdr:pic>
      <xdr:nvPicPr>
        <xdr:cNvPr id="1032" name="Imagem 32">
          <a:extLst>
            <a:ext uri="{FF2B5EF4-FFF2-40B4-BE49-F238E27FC236}">
              <a16:creationId xmlns:a16="http://schemas.microsoft.com/office/drawing/2014/main" id="{84580ED8-9DDA-645B-7053-930169CED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152400"/>
          <a:ext cx="97155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2:AF44"/>
  <sheetViews>
    <sheetView tabSelected="1" zoomScale="90" zoomScaleNormal="90" workbookViewId="0">
      <selection activeCell="L15" sqref="L15:Y15"/>
    </sheetView>
  </sheetViews>
  <sheetFormatPr defaultRowHeight="11.45" customHeight="1" x14ac:dyDescent="0.2"/>
  <cols>
    <col min="1" max="1" width="11.28515625" style="1" customWidth="1"/>
    <col min="2" max="2" width="8.7109375" style="2" customWidth="1"/>
    <col min="3" max="3" width="53.85546875" style="3" customWidth="1"/>
    <col min="4" max="5" width="2.28515625" style="3" customWidth="1"/>
    <col min="6" max="10" width="3.7109375" style="3" customWidth="1"/>
    <col min="11" max="11" width="1.7109375" style="3" customWidth="1"/>
    <col min="12" max="12" width="3.7109375" style="3" customWidth="1"/>
    <col min="13" max="13" width="5.7109375" style="3" customWidth="1"/>
    <col min="14" max="14" width="2.7109375" style="3" customWidth="1"/>
    <col min="15" max="17" width="3.7109375" style="3" customWidth="1"/>
    <col min="18" max="19" width="2.7109375" style="3" customWidth="1"/>
    <col min="20" max="21" width="3.7109375" style="3" customWidth="1"/>
    <col min="22" max="22" width="8.7109375" style="3" customWidth="1"/>
    <col min="23" max="24" width="3.7109375" style="3" customWidth="1"/>
    <col min="25" max="25" width="2.7109375" style="3" customWidth="1"/>
    <col min="26" max="16384" width="9.140625" style="3"/>
  </cols>
  <sheetData>
    <row r="2" spans="1:32" s="6" customFormat="1" ht="26.1" customHeight="1" x14ac:dyDescent="0.2">
      <c r="A2" s="4" t="s">
        <v>0</v>
      </c>
      <c r="B2" s="5" t="s">
        <v>1</v>
      </c>
      <c r="C2" s="5" t="s">
        <v>2</v>
      </c>
      <c r="D2" s="70"/>
      <c r="E2" s="71"/>
      <c r="K2" s="72" t="s">
        <v>3</v>
      </c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"/>
      <c r="Y2" s="7"/>
    </row>
    <row r="3" spans="1:32" s="6" customFormat="1" ht="12.95" customHeight="1" x14ac:dyDescent="0.2">
      <c r="A3" s="39">
        <v>45195</v>
      </c>
      <c r="B3" s="8">
        <v>4</v>
      </c>
      <c r="C3" s="9" t="s">
        <v>4</v>
      </c>
      <c r="D3" s="70"/>
      <c r="E3" s="71"/>
      <c r="J3" s="10"/>
      <c r="L3" s="72" t="s">
        <v>5</v>
      </c>
      <c r="M3" s="72"/>
      <c r="N3" s="72"/>
      <c r="O3" s="72"/>
      <c r="P3" s="72"/>
      <c r="Q3" s="72"/>
      <c r="R3" s="72"/>
      <c r="S3" s="11"/>
      <c r="T3" s="11"/>
      <c r="U3" s="11"/>
      <c r="V3" s="11"/>
      <c r="W3" s="12"/>
      <c r="X3" s="10"/>
      <c r="Y3" s="10"/>
    </row>
    <row r="4" spans="1:32" s="6" customFormat="1" ht="12.95" customHeight="1" x14ac:dyDescent="0.2">
      <c r="A4" s="39">
        <v>45202</v>
      </c>
      <c r="B4" s="8">
        <v>3</v>
      </c>
      <c r="C4" s="13" t="s">
        <v>6</v>
      </c>
      <c r="D4" s="70"/>
      <c r="E4" s="71"/>
      <c r="F4" s="73" t="s">
        <v>7</v>
      </c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</row>
    <row r="5" spans="1:32" s="6" customFormat="1" ht="12.95" customHeight="1" x14ac:dyDescent="0.2">
      <c r="A5" s="39">
        <v>45209</v>
      </c>
      <c r="B5" s="8">
        <v>4</v>
      </c>
      <c r="C5" s="13" t="s">
        <v>6</v>
      </c>
      <c r="D5" s="70"/>
      <c r="E5" s="71"/>
      <c r="F5" s="73" t="s">
        <v>8</v>
      </c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</row>
    <row r="6" spans="1:32" s="6" customFormat="1" ht="12.95" customHeight="1" x14ac:dyDescent="0.2">
      <c r="A6" s="39">
        <v>45216</v>
      </c>
      <c r="B6" s="8">
        <v>3</v>
      </c>
      <c r="C6" s="13" t="s">
        <v>9</v>
      </c>
      <c r="D6" s="70"/>
      <c r="E6" s="71"/>
      <c r="F6" s="74" t="s">
        <v>10</v>
      </c>
      <c r="G6" s="74"/>
      <c r="H6" s="74"/>
      <c r="I6" s="74"/>
      <c r="J6" s="74" t="s">
        <v>11</v>
      </c>
      <c r="K6" s="74"/>
      <c r="L6" s="74"/>
      <c r="M6" s="74"/>
      <c r="N6" s="64" t="s">
        <v>12</v>
      </c>
      <c r="O6" s="64"/>
      <c r="P6" s="64"/>
      <c r="Q6" s="64"/>
      <c r="R6" s="64"/>
      <c r="S6" s="74" t="s">
        <v>13</v>
      </c>
      <c r="T6" s="74"/>
      <c r="U6" s="74"/>
      <c r="V6" s="74"/>
      <c r="W6" s="74" t="s">
        <v>14</v>
      </c>
      <c r="X6" s="74"/>
      <c r="Y6" s="74"/>
    </row>
    <row r="7" spans="1:32" s="6" customFormat="1" ht="12.95" customHeight="1" x14ac:dyDescent="0.2">
      <c r="A7" s="39">
        <v>45223</v>
      </c>
      <c r="B7" s="8">
        <v>4</v>
      </c>
      <c r="C7" s="13" t="s">
        <v>9</v>
      </c>
      <c r="D7" s="70"/>
      <c r="E7" s="71"/>
      <c r="F7" s="75"/>
      <c r="G7" s="75"/>
      <c r="H7" s="75"/>
      <c r="I7" s="75"/>
      <c r="J7" s="57" t="s">
        <v>15</v>
      </c>
      <c r="K7" s="57"/>
      <c r="L7" s="57"/>
      <c r="M7" s="57"/>
      <c r="N7" s="76" t="s">
        <v>15</v>
      </c>
      <c r="O7" s="76"/>
      <c r="P7" s="76"/>
      <c r="Q7" s="76"/>
      <c r="R7" s="76"/>
      <c r="S7" s="77" t="s">
        <v>16</v>
      </c>
      <c r="T7" s="77"/>
      <c r="U7" s="77"/>
      <c r="V7" s="77"/>
      <c r="W7" s="78">
        <v>45195</v>
      </c>
      <c r="X7" s="78"/>
      <c r="Y7" s="78"/>
      <c r="AC7" s="3"/>
      <c r="AD7" s="3"/>
      <c r="AE7" s="3"/>
      <c r="AF7" s="3"/>
    </row>
    <row r="8" spans="1:32" s="6" customFormat="1" ht="12.95" customHeight="1" x14ac:dyDescent="0.2">
      <c r="A8" s="39">
        <v>45230</v>
      </c>
      <c r="B8" s="8">
        <v>3</v>
      </c>
      <c r="C8" s="13" t="s">
        <v>9</v>
      </c>
      <c r="D8" s="70"/>
      <c r="E8" s="71"/>
      <c r="F8" s="67"/>
      <c r="G8" s="67"/>
      <c r="H8" s="67"/>
      <c r="I8" s="67"/>
      <c r="J8" s="57"/>
      <c r="K8" s="57"/>
      <c r="L8" s="57"/>
      <c r="M8" s="57"/>
      <c r="N8" s="76"/>
      <c r="O8" s="76"/>
      <c r="P8" s="76"/>
      <c r="Q8" s="76"/>
      <c r="R8" s="76"/>
      <c r="S8" s="77"/>
      <c r="T8" s="77"/>
      <c r="U8" s="77"/>
      <c r="V8" s="77"/>
      <c r="W8" s="78"/>
      <c r="X8" s="78"/>
      <c r="Y8" s="78"/>
      <c r="AC8" s="3"/>
      <c r="AD8" s="3"/>
      <c r="AE8" s="3"/>
      <c r="AF8" s="3"/>
    </row>
    <row r="9" spans="1:32" s="6" customFormat="1" ht="12.95" customHeight="1" x14ac:dyDescent="0.2">
      <c r="A9" s="39">
        <v>45237</v>
      </c>
      <c r="B9" s="8">
        <v>4</v>
      </c>
      <c r="C9" s="13" t="s">
        <v>17</v>
      </c>
      <c r="D9" s="70"/>
      <c r="E9" s="71"/>
      <c r="F9" s="68" t="s">
        <v>18</v>
      </c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AC9" s="3"/>
      <c r="AD9" s="3"/>
      <c r="AE9" s="3"/>
      <c r="AF9" s="3"/>
    </row>
    <row r="10" spans="1:32" s="6" customFormat="1" ht="12.95" customHeight="1" x14ac:dyDescent="0.2">
      <c r="A10" s="39">
        <v>45244</v>
      </c>
      <c r="B10" s="8">
        <v>3</v>
      </c>
      <c r="C10" s="13" t="s">
        <v>17</v>
      </c>
      <c r="D10" s="70"/>
      <c r="E10" s="71"/>
      <c r="F10" s="69" t="s">
        <v>19</v>
      </c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AC10" s="3"/>
      <c r="AD10" s="3"/>
      <c r="AE10" s="3"/>
      <c r="AF10" s="3"/>
    </row>
    <row r="11" spans="1:32" s="6" customFormat="1" ht="12.95" customHeight="1" x14ac:dyDescent="0.2">
      <c r="A11" s="39">
        <v>45251</v>
      </c>
      <c r="B11" s="8">
        <v>3</v>
      </c>
      <c r="C11" s="13" t="s">
        <v>17</v>
      </c>
      <c r="D11" s="70"/>
      <c r="E11" s="71"/>
      <c r="F11" s="68" t="s">
        <v>20</v>
      </c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</row>
    <row r="12" spans="1:32" s="6" customFormat="1" ht="12.95" customHeight="1" x14ac:dyDescent="0.2">
      <c r="A12" s="39">
        <v>45258</v>
      </c>
      <c r="B12" s="8">
        <v>3</v>
      </c>
      <c r="C12" s="13" t="s">
        <v>21</v>
      </c>
      <c r="D12" s="70"/>
      <c r="E12" s="71"/>
      <c r="F12" s="69" t="s">
        <v>22</v>
      </c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</row>
    <row r="13" spans="1:32" s="6" customFormat="1" ht="12.95" customHeight="1" x14ac:dyDescent="0.2">
      <c r="A13" s="39">
        <v>45265</v>
      </c>
      <c r="B13" s="8">
        <v>3</v>
      </c>
      <c r="C13" s="13" t="s">
        <v>21</v>
      </c>
      <c r="D13" s="70"/>
      <c r="E13" s="71"/>
      <c r="F13" s="64" t="s">
        <v>23</v>
      </c>
      <c r="G13" s="64"/>
      <c r="H13" s="64"/>
      <c r="I13" s="64"/>
      <c r="J13" s="64"/>
      <c r="K13" s="64"/>
      <c r="L13" s="16" t="s">
        <v>24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7"/>
    </row>
    <row r="14" spans="1:32" s="6" customFormat="1" ht="12.95" customHeight="1" x14ac:dyDescent="0.2">
      <c r="A14" s="39">
        <v>45272</v>
      </c>
      <c r="B14" s="8">
        <v>3</v>
      </c>
      <c r="C14" s="13" t="s">
        <v>21</v>
      </c>
      <c r="D14" s="70"/>
      <c r="E14" s="71"/>
      <c r="F14" s="61">
        <v>45195</v>
      </c>
      <c r="G14" s="61"/>
      <c r="H14" s="61"/>
      <c r="I14" s="61"/>
      <c r="J14" s="61"/>
      <c r="K14" s="61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</row>
    <row r="15" spans="1:32" s="6" customFormat="1" ht="12.95" customHeight="1" x14ac:dyDescent="0.2">
      <c r="A15" s="39"/>
      <c r="B15" s="14"/>
      <c r="C15" s="15"/>
      <c r="D15" s="70"/>
      <c r="E15" s="71"/>
      <c r="F15" s="61"/>
      <c r="G15" s="61"/>
      <c r="H15" s="61"/>
      <c r="I15" s="61"/>
      <c r="J15" s="61"/>
      <c r="K15" s="61"/>
      <c r="L15" s="66" t="s">
        <v>82</v>
      </c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</row>
    <row r="16" spans="1:32" s="6" customFormat="1" ht="12.95" customHeight="1" x14ac:dyDescent="0.2">
      <c r="A16" s="39"/>
      <c r="B16" s="14"/>
      <c r="C16" s="15"/>
      <c r="D16" s="70"/>
      <c r="E16" s="71"/>
      <c r="F16" s="64" t="s">
        <v>25</v>
      </c>
      <c r="G16" s="64"/>
      <c r="H16" s="64"/>
      <c r="I16" s="64"/>
      <c r="J16" s="64"/>
      <c r="K16" s="64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18"/>
    </row>
    <row r="17" spans="1:25" s="6" customFormat="1" ht="12.95" customHeight="1" x14ac:dyDescent="0.2">
      <c r="A17" s="40"/>
      <c r="B17" s="14"/>
      <c r="C17" s="15"/>
      <c r="D17" s="70"/>
      <c r="E17" s="71"/>
      <c r="F17" s="61">
        <v>45272</v>
      </c>
      <c r="G17" s="61"/>
      <c r="H17" s="61"/>
      <c r="I17" s="61"/>
      <c r="J17" s="61"/>
      <c r="K17" s="61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18"/>
    </row>
    <row r="18" spans="1:25" s="6" customFormat="1" ht="12.95" customHeight="1" x14ac:dyDescent="0.2">
      <c r="A18" s="39"/>
      <c r="B18" s="8"/>
      <c r="C18" s="15"/>
      <c r="D18" s="70"/>
      <c r="E18" s="71"/>
      <c r="F18" s="61"/>
      <c r="G18" s="61"/>
      <c r="H18" s="61"/>
      <c r="I18" s="61"/>
      <c r="J18" s="61"/>
      <c r="K18" s="61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18"/>
    </row>
    <row r="19" spans="1:25" s="6" customFormat="1" ht="12.95" customHeight="1" x14ac:dyDescent="0.2">
      <c r="A19" s="40"/>
      <c r="B19" s="8"/>
      <c r="C19" s="15"/>
      <c r="D19" s="70"/>
      <c r="E19" s="71"/>
      <c r="F19" s="64" t="s">
        <v>26</v>
      </c>
      <c r="G19" s="64"/>
      <c r="H19" s="64"/>
      <c r="I19" s="64"/>
      <c r="J19" s="64"/>
      <c r="K19" s="64"/>
      <c r="L19" s="65" t="s">
        <v>27</v>
      </c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</row>
    <row r="20" spans="1:25" s="6" customFormat="1" ht="12.95" customHeight="1" x14ac:dyDescent="0.2">
      <c r="A20" s="39"/>
      <c r="B20" s="8"/>
      <c r="C20" s="15"/>
      <c r="D20" s="70"/>
      <c r="E20" s="71"/>
      <c r="F20" s="57">
        <v>40</v>
      </c>
      <c r="G20" s="57"/>
      <c r="H20" s="57"/>
      <c r="I20" s="57"/>
      <c r="J20" s="57"/>
      <c r="K20" s="57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</row>
    <row r="21" spans="1:25" s="6" customFormat="1" ht="12.95" customHeight="1" x14ac:dyDescent="0.2">
      <c r="A21" s="39"/>
      <c r="B21" s="8"/>
      <c r="C21" s="15"/>
      <c r="D21" s="70"/>
      <c r="E21" s="71"/>
      <c r="F21" s="59" t="s">
        <v>28</v>
      </c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</row>
    <row r="22" spans="1:25" s="6" customFormat="1" ht="12.95" customHeight="1" x14ac:dyDescent="0.2">
      <c r="A22" s="39"/>
      <c r="B22" s="8"/>
      <c r="C22" s="15"/>
      <c r="D22" s="70"/>
      <c r="E22" s="7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</row>
    <row r="23" spans="1:25" s="6" customFormat="1" ht="12.95" customHeight="1" x14ac:dyDescent="0.2">
      <c r="A23" s="39"/>
      <c r="B23" s="8"/>
      <c r="C23" s="15"/>
      <c r="D23" s="70"/>
      <c r="E23" s="7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</row>
    <row r="24" spans="1:25" s="6" customFormat="1" ht="12.95" customHeight="1" x14ac:dyDescent="0.2">
      <c r="A24" s="39"/>
      <c r="B24" s="8"/>
      <c r="C24" s="15"/>
      <c r="D24" s="70"/>
      <c r="E24" s="7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</row>
    <row r="25" spans="1:25" s="6" customFormat="1" ht="12.95" customHeight="1" x14ac:dyDescent="0.2">
      <c r="A25" s="39"/>
      <c r="B25" s="8"/>
      <c r="C25" s="15"/>
      <c r="D25" s="70"/>
      <c r="E25" s="7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</row>
    <row r="26" spans="1:25" s="6" customFormat="1" ht="12.95" customHeight="1" x14ac:dyDescent="0.2">
      <c r="A26" s="39"/>
      <c r="B26" s="8"/>
      <c r="C26" s="15"/>
      <c r="D26" s="70"/>
      <c r="E26" s="7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</row>
    <row r="27" spans="1:25" s="6" customFormat="1" ht="12.95" customHeight="1" x14ac:dyDescent="0.2">
      <c r="A27" s="40"/>
      <c r="B27" s="8"/>
      <c r="C27" s="15"/>
      <c r="D27" s="70"/>
      <c r="E27" s="7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</row>
    <row r="28" spans="1:25" s="6" customFormat="1" ht="12.95" customHeight="1" x14ac:dyDescent="0.2">
      <c r="A28" s="39"/>
      <c r="B28" s="8"/>
      <c r="C28" s="15"/>
      <c r="D28" s="70"/>
      <c r="E28" s="71"/>
      <c r="F28" s="60" t="s">
        <v>29</v>
      </c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</row>
    <row r="29" spans="1:25" s="6" customFormat="1" ht="12.95" customHeight="1" x14ac:dyDescent="0.2">
      <c r="A29" s="39"/>
      <c r="B29" s="8"/>
      <c r="C29" s="15"/>
      <c r="D29" s="70"/>
      <c r="E29" s="7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</row>
    <row r="30" spans="1:25" s="6" customFormat="1" ht="12.95" customHeight="1" x14ac:dyDescent="0.2">
      <c r="A30" s="40"/>
      <c r="B30" s="8"/>
      <c r="C30" s="15"/>
      <c r="D30" s="70"/>
      <c r="E30" s="71"/>
      <c r="F30" s="51" t="s">
        <v>30</v>
      </c>
      <c r="G30" s="51"/>
      <c r="H30" s="51"/>
      <c r="I30" s="51"/>
      <c r="J30" s="51"/>
      <c r="K30" s="51"/>
      <c r="L30" s="51"/>
      <c r="M30" s="51" t="s">
        <v>31</v>
      </c>
      <c r="N30" s="51"/>
      <c r="O30" s="51"/>
      <c r="P30" s="51"/>
      <c r="Q30" s="51" t="s">
        <v>32</v>
      </c>
      <c r="R30" s="51"/>
      <c r="S30" s="51"/>
      <c r="T30" s="51"/>
      <c r="U30" s="51" t="s">
        <v>33</v>
      </c>
      <c r="V30" s="51"/>
      <c r="W30" s="51"/>
      <c r="X30" s="51"/>
      <c r="Y30" s="51"/>
    </row>
    <row r="31" spans="1:25" s="6" customFormat="1" ht="12.95" customHeight="1" x14ac:dyDescent="0.2">
      <c r="A31" s="39"/>
      <c r="B31" s="8"/>
      <c r="C31" s="15"/>
      <c r="D31" s="70"/>
      <c r="E31" s="7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</row>
    <row r="32" spans="1:25" s="6" customFormat="1" ht="12.95" customHeight="1" x14ac:dyDescent="0.2">
      <c r="A32" s="39"/>
      <c r="B32" s="8"/>
      <c r="C32" s="15"/>
      <c r="D32" s="70"/>
      <c r="E32" s="71"/>
      <c r="F32" s="56" t="s">
        <v>34</v>
      </c>
      <c r="G32" s="56"/>
      <c r="H32" s="56"/>
      <c r="I32" s="53" t="s">
        <v>35</v>
      </c>
      <c r="J32" s="54" t="s">
        <v>34</v>
      </c>
      <c r="K32" s="54"/>
      <c r="L32" s="54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</row>
    <row r="33" spans="1:25" s="6" customFormat="1" ht="12.95" customHeight="1" x14ac:dyDescent="0.2">
      <c r="A33" s="39"/>
      <c r="B33" s="8"/>
      <c r="C33" s="15"/>
      <c r="D33" s="70"/>
      <c r="E33" s="71"/>
      <c r="F33" s="56"/>
      <c r="G33" s="56"/>
      <c r="H33" s="56"/>
      <c r="I33" s="53"/>
      <c r="J33" s="53"/>
      <c r="K33" s="54"/>
      <c r="L33" s="54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</row>
    <row r="34" spans="1:25" s="6" customFormat="1" ht="12.95" customHeight="1" x14ac:dyDescent="0.2">
      <c r="A34" s="39"/>
      <c r="B34" s="8"/>
      <c r="C34" s="15"/>
      <c r="D34" s="70"/>
      <c r="E34" s="71"/>
      <c r="F34" s="55" t="s">
        <v>34</v>
      </c>
      <c r="G34" s="55"/>
      <c r="H34" s="55"/>
      <c r="I34" s="53" t="s">
        <v>35</v>
      </c>
      <c r="J34" s="54" t="s">
        <v>34</v>
      </c>
      <c r="K34" s="54"/>
      <c r="L34" s="54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</row>
    <row r="35" spans="1:25" s="6" customFormat="1" ht="12.95" customHeight="1" x14ac:dyDescent="0.2">
      <c r="A35" s="39"/>
      <c r="B35" s="8"/>
      <c r="C35" s="15"/>
      <c r="D35" s="70"/>
      <c r="E35" s="71"/>
      <c r="F35" s="55"/>
      <c r="G35" s="55"/>
      <c r="H35" s="55"/>
      <c r="I35" s="53"/>
      <c r="J35" s="53"/>
      <c r="K35" s="54"/>
      <c r="L35" s="54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</row>
    <row r="36" spans="1:25" s="6" customFormat="1" ht="12.95" customHeight="1" x14ac:dyDescent="0.2">
      <c r="A36" s="40"/>
      <c r="B36" s="8"/>
      <c r="C36" s="15"/>
      <c r="D36" s="70"/>
      <c r="E36" s="71"/>
      <c r="F36" s="52" t="s">
        <v>34</v>
      </c>
      <c r="G36" s="52"/>
      <c r="H36" s="52"/>
      <c r="I36" s="53" t="s">
        <v>35</v>
      </c>
      <c r="J36" s="54" t="s">
        <v>34</v>
      </c>
      <c r="K36" s="54"/>
      <c r="L36" s="54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</row>
    <row r="37" spans="1:25" s="6" customFormat="1" ht="12.95" customHeight="1" x14ac:dyDescent="0.2">
      <c r="A37" s="39"/>
      <c r="B37" s="8"/>
      <c r="C37" s="15"/>
      <c r="D37" s="70"/>
      <c r="E37" s="71"/>
      <c r="F37" s="52"/>
      <c r="G37" s="52"/>
      <c r="H37" s="52"/>
      <c r="I37" s="53"/>
      <c r="J37" s="53"/>
      <c r="K37" s="54"/>
      <c r="L37" s="54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</row>
    <row r="38" spans="1:25" s="6" customFormat="1" ht="12.95" customHeight="1" x14ac:dyDescent="0.2">
      <c r="A38" s="40"/>
      <c r="B38" s="8"/>
      <c r="C38" s="15"/>
      <c r="D38" s="70"/>
      <c r="E38" s="71"/>
      <c r="F38" s="52" t="s">
        <v>34</v>
      </c>
      <c r="G38" s="52"/>
      <c r="H38" s="52"/>
      <c r="I38" s="53" t="s">
        <v>35</v>
      </c>
      <c r="J38" s="54" t="s">
        <v>34</v>
      </c>
      <c r="K38" s="54"/>
      <c r="L38" s="54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</row>
    <row r="39" spans="1:25" s="6" customFormat="1" ht="12.95" customHeight="1" x14ac:dyDescent="0.2">
      <c r="A39" s="39"/>
      <c r="B39" s="8"/>
      <c r="C39" s="15"/>
      <c r="D39" s="70"/>
      <c r="E39" s="71"/>
      <c r="F39" s="52"/>
      <c r="G39" s="52"/>
      <c r="H39" s="52"/>
      <c r="I39" s="53"/>
      <c r="J39" s="53"/>
      <c r="K39" s="54"/>
      <c r="L39" s="54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</row>
    <row r="40" spans="1:25" s="6" customFormat="1" ht="12.95" customHeight="1" x14ac:dyDescent="0.2">
      <c r="A40" s="39"/>
      <c r="B40" s="8"/>
      <c r="C40" s="15"/>
      <c r="D40" s="70"/>
      <c r="E40" s="71"/>
      <c r="F40" s="52" t="s">
        <v>34</v>
      </c>
      <c r="G40" s="52"/>
      <c r="H40" s="52"/>
      <c r="I40" s="53" t="s">
        <v>35</v>
      </c>
      <c r="J40" s="54" t="s">
        <v>34</v>
      </c>
      <c r="K40" s="54"/>
      <c r="L40" s="54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</row>
    <row r="41" spans="1:25" s="6" customFormat="1" ht="12.95" customHeight="1" x14ac:dyDescent="0.2">
      <c r="A41" s="39"/>
      <c r="B41" s="8"/>
      <c r="C41" s="15"/>
      <c r="D41" s="70"/>
      <c r="E41" s="71"/>
      <c r="F41" s="52"/>
      <c r="G41" s="52"/>
      <c r="H41" s="52"/>
      <c r="I41" s="53"/>
      <c r="J41" s="53"/>
      <c r="K41" s="54"/>
      <c r="L41" s="54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</row>
    <row r="42" spans="1:25" s="6" customFormat="1" ht="12.95" customHeight="1" x14ac:dyDescent="0.2">
      <c r="A42" s="39"/>
      <c r="B42" s="8"/>
      <c r="C42" s="15"/>
      <c r="D42" s="70"/>
      <c r="E42" s="71"/>
      <c r="F42" s="48" t="s">
        <v>36</v>
      </c>
      <c r="G42" s="48"/>
      <c r="H42" s="48"/>
      <c r="I42" s="48"/>
      <c r="J42" s="48"/>
      <c r="K42" s="48"/>
      <c r="L42" s="48"/>
      <c r="M42" s="48" t="s">
        <v>37</v>
      </c>
      <c r="N42" s="48"/>
      <c r="O42" s="48"/>
      <c r="P42" s="48"/>
      <c r="Q42" s="48"/>
      <c r="R42" s="48"/>
      <c r="S42" s="48"/>
      <c r="T42" s="48"/>
      <c r="U42" s="48" t="s">
        <v>38</v>
      </c>
      <c r="V42" s="48"/>
      <c r="W42" s="48"/>
      <c r="X42" s="48"/>
      <c r="Y42" s="48"/>
    </row>
    <row r="43" spans="1:25" s="6" customFormat="1" ht="12.95" customHeight="1" x14ac:dyDescent="0.2">
      <c r="A43" s="39"/>
      <c r="B43" s="8"/>
      <c r="C43" s="15"/>
      <c r="D43" s="70"/>
      <c r="E43" s="71"/>
      <c r="F43" s="49">
        <v>45195</v>
      </c>
      <c r="G43" s="49"/>
      <c r="H43" s="49"/>
      <c r="I43" s="49"/>
      <c r="J43" s="49"/>
      <c r="K43" s="49"/>
      <c r="L43" s="49"/>
      <c r="M43" s="49">
        <v>45272</v>
      </c>
      <c r="N43" s="49"/>
      <c r="O43" s="49"/>
      <c r="P43" s="49"/>
      <c r="Q43" s="49"/>
      <c r="R43" s="49"/>
      <c r="S43" s="49"/>
      <c r="T43" s="49"/>
      <c r="U43" s="50">
        <v>40</v>
      </c>
      <c r="V43" s="50"/>
      <c r="W43" s="50"/>
      <c r="X43" s="50"/>
      <c r="Y43" s="50"/>
    </row>
    <row r="44" spans="1:25" s="6" customFormat="1" ht="12.95" customHeight="1" x14ac:dyDescent="0.3">
      <c r="A44" s="41"/>
      <c r="B44" s="21"/>
      <c r="C44" s="22"/>
      <c r="D44" s="70"/>
      <c r="E44" s="71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  <c r="V44" s="50"/>
      <c r="W44" s="50"/>
      <c r="X44" s="50"/>
      <c r="Y44" s="50"/>
    </row>
  </sheetData>
  <sheetProtection selectLockedCells="1" selectUnlockedCells="1"/>
  <mergeCells count="77">
    <mergeCell ref="D2:D44"/>
    <mergeCell ref="E2:E44"/>
    <mergeCell ref="K2:W2"/>
    <mergeCell ref="L3:R3"/>
    <mergeCell ref="F4:Y4"/>
    <mergeCell ref="F5:Y5"/>
    <mergeCell ref="F6:I6"/>
    <mergeCell ref="J6:M6"/>
    <mergeCell ref="N6:R6"/>
    <mergeCell ref="S6:V6"/>
    <mergeCell ref="W6:Y6"/>
    <mergeCell ref="F7:I7"/>
    <mergeCell ref="J7:M8"/>
    <mergeCell ref="N7:R8"/>
    <mergeCell ref="S7:V8"/>
    <mergeCell ref="W7:Y8"/>
    <mergeCell ref="F8:I8"/>
    <mergeCell ref="F9:Y9"/>
    <mergeCell ref="F10:Y10"/>
    <mergeCell ref="F11:Y11"/>
    <mergeCell ref="F12:Y12"/>
    <mergeCell ref="F13:K13"/>
    <mergeCell ref="F14:K15"/>
    <mergeCell ref="L14:Y14"/>
    <mergeCell ref="L15:Y15"/>
    <mergeCell ref="F16:K16"/>
    <mergeCell ref="L16:X16"/>
    <mergeCell ref="F17:K18"/>
    <mergeCell ref="L17:X17"/>
    <mergeCell ref="L18:X18"/>
    <mergeCell ref="F19:K19"/>
    <mergeCell ref="L19:Y19"/>
    <mergeCell ref="F20:K20"/>
    <mergeCell ref="L20:Y20"/>
    <mergeCell ref="F21:Y21"/>
    <mergeCell ref="F22:Y27"/>
    <mergeCell ref="F28:Y29"/>
    <mergeCell ref="F30:L31"/>
    <mergeCell ref="M30:P31"/>
    <mergeCell ref="Q30:T31"/>
    <mergeCell ref="U30:Y31"/>
    <mergeCell ref="F32:H33"/>
    <mergeCell ref="I32:I33"/>
    <mergeCell ref="J32:L33"/>
    <mergeCell ref="M32:P33"/>
    <mergeCell ref="Q32:T33"/>
    <mergeCell ref="U32:Y33"/>
    <mergeCell ref="U34:Y35"/>
    <mergeCell ref="F36:H37"/>
    <mergeCell ref="I36:I37"/>
    <mergeCell ref="J36:L37"/>
    <mergeCell ref="M36:P37"/>
    <mergeCell ref="Q36:T37"/>
    <mergeCell ref="U36:Y37"/>
    <mergeCell ref="F34:H35"/>
    <mergeCell ref="I34:I35"/>
    <mergeCell ref="J34:L35"/>
    <mergeCell ref="M34:P35"/>
    <mergeCell ref="Q34:T35"/>
    <mergeCell ref="U38:Y39"/>
    <mergeCell ref="F40:H41"/>
    <mergeCell ref="I40:I41"/>
    <mergeCell ref="J40:L41"/>
    <mergeCell ref="M40:P41"/>
    <mergeCell ref="Q40:T41"/>
    <mergeCell ref="U40:Y41"/>
    <mergeCell ref="F38:H39"/>
    <mergeCell ref="I38:I39"/>
    <mergeCell ref="J38:L39"/>
    <mergeCell ref="M38:P39"/>
    <mergeCell ref="Q38:T39"/>
    <mergeCell ref="F42:L42"/>
    <mergeCell ref="M42:T42"/>
    <mergeCell ref="U42:Y42"/>
    <mergeCell ref="F43:L44"/>
    <mergeCell ref="M43:T44"/>
    <mergeCell ref="U43:Y44"/>
  </mergeCells>
  <printOptions horizontalCentered="1"/>
  <pageMargins left="0.2361111111111111" right="0.2361111111111111" top="0.74791666666666667" bottom="0.74791666666666667" header="0.51180555555555551" footer="0.51180555555555551"/>
  <pageSetup paperSize="9"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2:BC43"/>
  <sheetViews>
    <sheetView workbookViewId="0">
      <selection activeCell="AA3" sqref="AA3"/>
    </sheetView>
  </sheetViews>
  <sheetFormatPr defaultRowHeight="12.95" customHeight="1" x14ac:dyDescent="0.2"/>
  <cols>
    <col min="1" max="1" width="4.7109375" style="3" customWidth="1"/>
    <col min="2" max="2" width="29.7109375" style="3" customWidth="1"/>
    <col min="3" max="3" width="4.7109375" style="3" customWidth="1"/>
    <col min="4" max="43" width="2.140625" style="3" customWidth="1"/>
    <col min="44" max="44" width="5.7109375" style="3" customWidth="1"/>
    <col min="45" max="45" width="4.7109375" style="3" customWidth="1"/>
    <col min="46" max="46" width="5.7109375" style="3" customWidth="1"/>
    <col min="47" max="47" width="6.7109375" style="3" customWidth="1"/>
    <col min="48" max="48" width="3.28515625" style="3" customWidth="1"/>
    <col min="49" max="49" width="14.7109375" style="23" customWidth="1"/>
    <col min="50" max="50" width="13.42578125" style="24" customWidth="1"/>
    <col min="51" max="51" width="2.5703125" style="3" customWidth="1"/>
    <col min="52" max="52" width="3" style="3" customWidth="1"/>
    <col min="53" max="53" width="13.140625" style="3" customWidth="1"/>
    <col min="54" max="54" width="3" style="3" customWidth="1"/>
    <col min="55" max="55" width="16.28515625" style="3" customWidth="1"/>
    <col min="56" max="72" width="5.7109375" style="3" customWidth="1"/>
    <col min="73" max="16384" width="9.140625" style="3"/>
  </cols>
  <sheetData>
    <row r="2" spans="1:55" ht="12.95" customHeight="1" x14ac:dyDescent="0.2">
      <c r="A2" s="101" t="s">
        <v>39</v>
      </c>
      <c r="B2" s="102" t="s">
        <v>40</v>
      </c>
      <c r="C2" s="20" t="s">
        <v>41</v>
      </c>
      <c r="D2" s="96" t="s">
        <v>42</v>
      </c>
      <c r="E2" s="97"/>
      <c r="F2" s="97"/>
      <c r="G2" s="100"/>
      <c r="H2" s="96" t="s">
        <v>43</v>
      </c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8"/>
      <c r="Y2" s="99" t="s">
        <v>44</v>
      </c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8"/>
      <c r="AL2" s="99" t="s">
        <v>45</v>
      </c>
      <c r="AM2" s="97"/>
      <c r="AN2" s="97"/>
      <c r="AO2" s="97"/>
      <c r="AP2" s="97"/>
      <c r="AQ2" s="100"/>
      <c r="AR2" s="93" t="s">
        <v>46</v>
      </c>
      <c r="AS2" s="92" t="s">
        <v>47</v>
      </c>
      <c r="AT2" s="92" t="s">
        <v>48</v>
      </c>
      <c r="AU2" s="92" t="s">
        <v>49</v>
      </c>
      <c r="AW2" s="104" t="s">
        <v>50</v>
      </c>
      <c r="AX2" s="103" t="s">
        <v>51</v>
      </c>
      <c r="BA2" s="103" t="s">
        <v>52</v>
      </c>
      <c r="BC2" s="103" t="s">
        <v>53</v>
      </c>
    </row>
    <row r="3" spans="1:55" ht="12.95" customHeight="1" x14ac:dyDescent="0.2">
      <c r="A3" s="101"/>
      <c r="B3" s="102"/>
      <c r="C3" s="19" t="s">
        <v>54</v>
      </c>
      <c r="D3" s="25">
        <v>26</v>
      </c>
      <c r="E3" s="25">
        <v>26</v>
      </c>
      <c r="F3" s="25">
        <v>26</v>
      </c>
      <c r="G3" s="25">
        <v>26</v>
      </c>
      <c r="H3" s="25">
        <v>3</v>
      </c>
      <c r="I3" s="25">
        <v>3</v>
      </c>
      <c r="J3" s="25">
        <v>3</v>
      </c>
      <c r="K3" s="25">
        <v>10</v>
      </c>
      <c r="L3" s="25">
        <v>10</v>
      </c>
      <c r="M3" s="25">
        <v>10</v>
      </c>
      <c r="N3" s="25">
        <v>10</v>
      </c>
      <c r="O3" s="25">
        <v>17</v>
      </c>
      <c r="P3" s="25">
        <v>17</v>
      </c>
      <c r="Q3" s="25">
        <v>17</v>
      </c>
      <c r="R3" s="25">
        <v>24</v>
      </c>
      <c r="S3" s="25">
        <v>24</v>
      </c>
      <c r="T3" s="25">
        <v>24</v>
      </c>
      <c r="U3" s="25">
        <v>24</v>
      </c>
      <c r="V3" s="25">
        <v>31</v>
      </c>
      <c r="W3" s="25">
        <v>31</v>
      </c>
      <c r="X3" s="25">
        <v>31</v>
      </c>
      <c r="Y3" s="25">
        <v>7</v>
      </c>
      <c r="Z3" s="25">
        <v>7</v>
      </c>
      <c r="AA3" s="25">
        <v>7</v>
      </c>
      <c r="AB3" s="25">
        <v>7</v>
      </c>
      <c r="AC3" s="25">
        <v>14</v>
      </c>
      <c r="AD3" s="25">
        <v>14</v>
      </c>
      <c r="AE3" s="25">
        <v>14</v>
      </c>
      <c r="AF3" s="25">
        <v>21</v>
      </c>
      <c r="AG3" s="25">
        <v>21</v>
      </c>
      <c r="AH3" s="25">
        <v>21</v>
      </c>
      <c r="AI3" s="25">
        <v>28</v>
      </c>
      <c r="AJ3" s="25">
        <v>28</v>
      </c>
      <c r="AK3" s="25">
        <v>28</v>
      </c>
      <c r="AL3" s="25">
        <v>5</v>
      </c>
      <c r="AM3" s="25">
        <v>5</v>
      </c>
      <c r="AN3" s="25">
        <v>5</v>
      </c>
      <c r="AO3" s="25">
        <v>12</v>
      </c>
      <c r="AP3" s="25">
        <v>12</v>
      </c>
      <c r="AQ3" s="25">
        <v>12</v>
      </c>
      <c r="AR3" s="93"/>
      <c r="AS3" s="93"/>
      <c r="AT3" s="93"/>
      <c r="AU3" s="93"/>
      <c r="AW3" s="104"/>
      <c r="AX3" s="103"/>
      <c r="BA3" s="103"/>
      <c r="BC3" s="103"/>
    </row>
    <row r="4" spans="1:55" ht="12.95" customHeight="1" x14ac:dyDescent="0.2">
      <c r="A4" s="26">
        <v>1</v>
      </c>
      <c r="B4" s="42" t="s">
        <v>55</v>
      </c>
      <c r="C4" s="43"/>
      <c r="D4" s="27" t="s">
        <v>56</v>
      </c>
      <c r="E4" s="27" t="s">
        <v>56</v>
      </c>
      <c r="F4" s="27" t="s">
        <v>56</v>
      </c>
      <c r="G4" s="27" t="s">
        <v>56</v>
      </c>
      <c r="H4" s="27" t="s">
        <v>56</v>
      </c>
      <c r="I4" s="27" t="s">
        <v>56</v>
      </c>
      <c r="J4" s="27" t="s">
        <v>56</v>
      </c>
      <c r="K4" s="27" t="s">
        <v>56</v>
      </c>
      <c r="L4" s="27" t="s">
        <v>56</v>
      </c>
      <c r="M4" s="27" t="s">
        <v>56</v>
      </c>
      <c r="N4" s="27" t="s">
        <v>56</v>
      </c>
      <c r="O4" s="27" t="s">
        <v>57</v>
      </c>
      <c r="P4" s="27" t="s">
        <v>57</v>
      </c>
      <c r="Q4" s="27" t="s">
        <v>57</v>
      </c>
      <c r="R4" s="27" t="s">
        <v>57</v>
      </c>
      <c r="S4" s="27" t="s">
        <v>57</v>
      </c>
      <c r="T4" s="27" t="s">
        <v>57</v>
      </c>
      <c r="U4" s="27" t="s">
        <v>57</v>
      </c>
      <c r="V4" s="27" t="s">
        <v>57</v>
      </c>
      <c r="W4" s="27" t="s">
        <v>57</v>
      </c>
      <c r="X4" s="27" t="s">
        <v>57</v>
      </c>
      <c r="Y4" s="27" t="s">
        <v>57</v>
      </c>
      <c r="Z4" s="27" t="s">
        <v>57</v>
      </c>
      <c r="AA4" s="27" t="s">
        <v>57</v>
      </c>
      <c r="AB4" s="27" t="s">
        <v>57</v>
      </c>
      <c r="AC4" s="27" t="s">
        <v>57</v>
      </c>
      <c r="AD4" s="27" t="s">
        <v>57</v>
      </c>
      <c r="AE4" s="27" t="s">
        <v>57</v>
      </c>
      <c r="AF4" s="27" t="s">
        <v>57</v>
      </c>
      <c r="AG4" s="27" t="s">
        <v>57</v>
      </c>
      <c r="AH4" s="27" t="s">
        <v>57</v>
      </c>
      <c r="AI4" s="27" t="s">
        <v>57</v>
      </c>
      <c r="AJ4" s="27" t="s">
        <v>57</v>
      </c>
      <c r="AK4" s="27" t="s">
        <v>57</v>
      </c>
      <c r="AL4" s="27" t="s">
        <v>57</v>
      </c>
      <c r="AM4" s="27" t="s">
        <v>57</v>
      </c>
      <c r="AN4" s="27" t="s">
        <v>57</v>
      </c>
      <c r="AO4" s="27" t="s">
        <v>57</v>
      </c>
      <c r="AP4" s="27" t="s">
        <v>57</v>
      </c>
      <c r="AQ4" s="27" t="s">
        <v>57</v>
      </c>
      <c r="AR4" s="28">
        <f t="shared" ref="AR4:AR17" si="0">COUNTIF(D4:AQ4,"|")</f>
        <v>29</v>
      </c>
      <c r="AS4" s="29">
        <v>0</v>
      </c>
      <c r="AT4" s="26">
        <v>1</v>
      </c>
      <c r="AU4" s="30" t="s">
        <v>58</v>
      </c>
      <c r="AW4" s="31">
        <f t="shared" ref="AW4:AW34" si="1">AR4*100/$BC$4/100</f>
        <v>0.72499999999999998</v>
      </c>
      <c r="AX4" s="19" t="str">
        <f t="shared" ref="AX4:AX13" si="2">IF(AW4&gt;0.25,"ESTOURADO","NORMAL ")</f>
        <v>ESTOURADO</v>
      </c>
      <c r="BA4" s="32">
        <f>AVERAGE(AW4:AW34)</f>
        <v>0.19677419354838707</v>
      </c>
      <c r="BC4" s="19">
        <v>40</v>
      </c>
    </row>
    <row r="5" spans="1:55" ht="12.95" customHeight="1" x14ac:dyDescent="0.2">
      <c r="A5" s="26">
        <v>2</v>
      </c>
      <c r="B5" s="42" t="s">
        <v>59</v>
      </c>
      <c r="C5" s="43"/>
      <c r="D5" s="27" t="s">
        <v>57</v>
      </c>
      <c r="E5" s="27" t="s">
        <v>57</v>
      </c>
      <c r="F5" s="27" t="s">
        <v>57</v>
      </c>
      <c r="G5" s="27" t="s">
        <v>57</v>
      </c>
      <c r="H5" s="27" t="s">
        <v>57</v>
      </c>
      <c r="I5" s="27" t="s">
        <v>57</v>
      </c>
      <c r="J5" s="27" t="s">
        <v>57</v>
      </c>
      <c r="K5" s="27" t="s">
        <v>57</v>
      </c>
      <c r="L5" s="27" t="s">
        <v>57</v>
      </c>
      <c r="M5" s="27" t="s">
        <v>57</v>
      </c>
      <c r="N5" s="27" t="s">
        <v>57</v>
      </c>
      <c r="O5" s="27" t="s">
        <v>57</v>
      </c>
      <c r="P5" s="27" t="s">
        <v>57</v>
      </c>
      <c r="Q5" s="27" t="s">
        <v>57</v>
      </c>
      <c r="R5" s="27" t="s">
        <v>57</v>
      </c>
      <c r="S5" s="27" t="s">
        <v>57</v>
      </c>
      <c r="T5" s="27" t="s">
        <v>57</v>
      </c>
      <c r="U5" s="27" t="s">
        <v>57</v>
      </c>
      <c r="V5" s="27" t="s">
        <v>57</v>
      </c>
      <c r="W5" s="27" t="s">
        <v>57</v>
      </c>
      <c r="X5" s="27" t="s">
        <v>57</v>
      </c>
      <c r="Y5" s="27" t="s">
        <v>57</v>
      </c>
      <c r="Z5" s="27" t="s">
        <v>57</v>
      </c>
      <c r="AA5" s="27" t="s">
        <v>57</v>
      </c>
      <c r="AB5" s="27" t="s">
        <v>57</v>
      </c>
      <c r="AC5" s="27" t="s">
        <v>57</v>
      </c>
      <c r="AD5" s="27" t="s">
        <v>57</v>
      </c>
      <c r="AE5" s="27" t="s">
        <v>57</v>
      </c>
      <c r="AF5" s="27" t="s">
        <v>57</v>
      </c>
      <c r="AG5" s="27" t="s">
        <v>57</v>
      </c>
      <c r="AH5" s="27" t="s">
        <v>57</v>
      </c>
      <c r="AI5" s="27" t="s">
        <v>57</v>
      </c>
      <c r="AJ5" s="27" t="s">
        <v>57</v>
      </c>
      <c r="AK5" s="27" t="s">
        <v>57</v>
      </c>
      <c r="AL5" s="27" t="s">
        <v>57</v>
      </c>
      <c r="AM5" s="27" t="s">
        <v>57</v>
      </c>
      <c r="AN5" s="27" t="s">
        <v>57</v>
      </c>
      <c r="AO5" s="27" t="s">
        <v>57</v>
      </c>
      <c r="AP5" s="27" t="s">
        <v>57</v>
      </c>
      <c r="AQ5" s="27" t="s">
        <v>57</v>
      </c>
      <c r="AR5" s="28">
        <f>COUNTIF(X5:AQ5,"|")</f>
        <v>20</v>
      </c>
      <c r="AS5" s="30">
        <v>0</v>
      </c>
      <c r="AT5" s="26">
        <v>2</v>
      </c>
      <c r="AU5" s="30" t="s">
        <v>60</v>
      </c>
      <c r="AW5" s="31">
        <f t="shared" si="1"/>
        <v>0.5</v>
      </c>
      <c r="AX5" s="19" t="str">
        <f t="shared" si="2"/>
        <v>ESTOURADO</v>
      </c>
    </row>
    <row r="6" spans="1:55" ht="12.95" customHeight="1" x14ac:dyDescent="0.2">
      <c r="A6" s="33">
        <v>3</v>
      </c>
      <c r="B6" s="42" t="s">
        <v>61</v>
      </c>
      <c r="C6" s="43"/>
      <c r="D6" s="27" t="s">
        <v>56</v>
      </c>
      <c r="E6" s="27" t="s">
        <v>56</v>
      </c>
      <c r="F6" s="27" t="s">
        <v>56</v>
      </c>
      <c r="G6" s="27" t="s">
        <v>56</v>
      </c>
      <c r="H6" s="27" t="s">
        <v>56</v>
      </c>
      <c r="I6" s="27" t="s">
        <v>56</v>
      </c>
      <c r="J6" s="27" t="s">
        <v>56</v>
      </c>
      <c r="K6" s="27" t="s">
        <v>57</v>
      </c>
      <c r="L6" s="27" t="s">
        <v>57</v>
      </c>
      <c r="M6" s="27" t="s">
        <v>57</v>
      </c>
      <c r="N6" s="27" t="s">
        <v>57</v>
      </c>
      <c r="O6" s="27" t="s">
        <v>57</v>
      </c>
      <c r="P6" s="27" t="s">
        <v>57</v>
      </c>
      <c r="Q6" s="27" t="s">
        <v>57</v>
      </c>
      <c r="R6" s="27" t="s">
        <v>57</v>
      </c>
      <c r="S6" s="27" t="s">
        <v>57</v>
      </c>
      <c r="T6" s="27" t="s">
        <v>57</v>
      </c>
      <c r="U6" s="27" t="s">
        <v>57</v>
      </c>
      <c r="V6" s="27" t="s">
        <v>57</v>
      </c>
      <c r="W6" s="27" t="s">
        <v>57</v>
      </c>
      <c r="X6" s="27" t="s">
        <v>57</v>
      </c>
      <c r="Y6" s="27" t="s">
        <v>57</v>
      </c>
      <c r="Z6" s="27" t="s">
        <v>57</v>
      </c>
      <c r="AA6" s="27" t="s">
        <v>57</v>
      </c>
      <c r="AB6" s="27" t="s">
        <v>57</v>
      </c>
      <c r="AC6" s="27" t="s">
        <v>57</v>
      </c>
      <c r="AD6" s="27" t="s">
        <v>57</v>
      </c>
      <c r="AE6" s="27" t="s">
        <v>57</v>
      </c>
      <c r="AF6" s="27" t="s">
        <v>57</v>
      </c>
      <c r="AG6" s="27" t="s">
        <v>57</v>
      </c>
      <c r="AH6" s="27" t="s">
        <v>57</v>
      </c>
      <c r="AI6" s="27" t="s">
        <v>57</v>
      </c>
      <c r="AJ6" s="27" t="s">
        <v>57</v>
      </c>
      <c r="AK6" s="27" t="s">
        <v>57</v>
      </c>
      <c r="AL6" s="27" t="s">
        <v>57</v>
      </c>
      <c r="AM6" s="27" t="s">
        <v>57</v>
      </c>
      <c r="AN6" s="27" t="s">
        <v>57</v>
      </c>
      <c r="AO6" s="27" t="s">
        <v>57</v>
      </c>
      <c r="AP6" s="27" t="s">
        <v>57</v>
      </c>
      <c r="AQ6" s="27" t="s">
        <v>57</v>
      </c>
      <c r="AR6" s="28">
        <f t="shared" si="0"/>
        <v>33</v>
      </c>
      <c r="AS6" s="30">
        <v>0</v>
      </c>
      <c r="AT6" s="26">
        <v>3</v>
      </c>
      <c r="AU6" s="47" t="s">
        <v>58</v>
      </c>
      <c r="AW6" s="31">
        <f t="shared" si="1"/>
        <v>0.82499999999999996</v>
      </c>
      <c r="AX6" s="19" t="str">
        <f t="shared" si="2"/>
        <v>ESTOURADO</v>
      </c>
    </row>
    <row r="7" spans="1:55" ht="12.95" customHeight="1" x14ac:dyDescent="0.2">
      <c r="A7" s="26">
        <v>4</v>
      </c>
      <c r="B7" s="42" t="s">
        <v>62</v>
      </c>
      <c r="C7" s="43"/>
      <c r="D7" s="27" t="s">
        <v>56</v>
      </c>
      <c r="E7" s="27" t="s">
        <v>56</v>
      </c>
      <c r="F7" s="27" t="s">
        <v>56</v>
      </c>
      <c r="G7" s="27" t="s">
        <v>56</v>
      </c>
      <c r="H7" s="27" t="s">
        <v>56</v>
      </c>
      <c r="I7" s="27" t="s">
        <v>56</v>
      </c>
      <c r="J7" s="27" t="s">
        <v>56</v>
      </c>
      <c r="K7" s="27" t="s">
        <v>56</v>
      </c>
      <c r="L7" s="27" t="s">
        <v>56</v>
      </c>
      <c r="M7" s="27" t="s">
        <v>56</v>
      </c>
      <c r="N7" s="27" t="s">
        <v>56</v>
      </c>
      <c r="O7" s="27" t="s">
        <v>56</v>
      </c>
      <c r="P7" s="27" t="s">
        <v>56</v>
      </c>
      <c r="Q7" s="27" t="s">
        <v>56</v>
      </c>
      <c r="R7" s="27" t="s">
        <v>57</v>
      </c>
      <c r="S7" s="27" t="s">
        <v>57</v>
      </c>
      <c r="T7" s="27" t="s">
        <v>57</v>
      </c>
      <c r="U7" s="27" t="s">
        <v>57</v>
      </c>
      <c r="V7" s="27" t="s">
        <v>56</v>
      </c>
      <c r="W7" s="27" t="s">
        <v>56</v>
      </c>
      <c r="X7" s="27" t="s">
        <v>56</v>
      </c>
      <c r="Y7" s="27" t="s">
        <v>56</v>
      </c>
      <c r="Z7" s="27" t="s">
        <v>56</v>
      </c>
      <c r="AA7" s="27" t="s">
        <v>56</v>
      </c>
      <c r="AB7" s="27" t="s">
        <v>56</v>
      </c>
      <c r="AC7" s="27" t="s">
        <v>56</v>
      </c>
      <c r="AD7" s="27" t="s">
        <v>56</v>
      </c>
      <c r="AE7" s="27" t="s">
        <v>56</v>
      </c>
      <c r="AF7" s="27" t="s">
        <v>56</v>
      </c>
      <c r="AG7" s="27" t="s">
        <v>56</v>
      </c>
      <c r="AH7" s="27" t="s">
        <v>56</v>
      </c>
      <c r="AI7" s="27" t="s">
        <v>56</v>
      </c>
      <c r="AJ7" s="27" t="s">
        <v>56</v>
      </c>
      <c r="AK7" s="27" t="s">
        <v>56</v>
      </c>
      <c r="AL7" s="27" t="s">
        <v>56</v>
      </c>
      <c r="AM7" s="27" t="s">
        <v>56</v>
      </c>
      <c r="AN7" s="27" t="s">
        <v>56</v>
      </c>
      <c r="AO7" s="27" t="s">
        <v>56</v>
      </c>
      <c r="AP7" s="27" t="s">
        <v>56</v>
      </c>
      <c r="AQ7" s="27" t="s">
        <v>56</v>
      </c>
      <c r="AR7" s="28">
        <f t="shared" si="0"/>
        <v>4</v>
      </c>
      <c r="AS7" s="30">
        <v>100</v>
      </c>
      <c r="AT7" s="26">
        <v>4</v>
      </c>
      <c r="AU7" s="30" t="s">
        <v>63</v>
      </c>
      <c r="AW7" s="31">
        <f t="shared" si="1"/>
        <v>0.1</v>
      </c>
      <c r="AX7" s="19" t="str">
        <f t="shared" si="2"/>
        <v xml:space="preserve">NORMAL </v>
      </c>
    </row>
    <row r="8" spans="1:55" ht="12.95" customHeight="1" x14ac:dyDescent="0.2">
      <c r="A8" s="26">
        <v>5</v>
      </c>
      <c r="B8" s="42" t="s">
        <v>64</v>
      </c>
      <c r="C8" s="43"/>
      <c r="D8" s="27" t="s">
        <v>56</v>
      </c>
      <c r="E8" s="27" t="s">
        <v>56</v>
      </c>
      <c r="F8" s="27" t="s">
        <v>56</v>
      </c>
      <c r="G8" s="27" t="s">
        <v>56</v>
      </c>
      <c r="H8" s="27" t="s">
        <v>56</v>
      </c>
      <c r="I8" s="27" t="s">
        <v>56</v>
      </c>
      <c r="J8" s="27" t="s">
        <v>56</v>
      </c>
      <c r="K8" s="27" t="s">
        <v>57</v>
      </c>
      <c r="L8" s="27" t="s">
        <v>57</v>
      </c>
      <c r="M8" s="27" t="s">
        <v>57</v>
      </c>
      <c r="N8" s="27" t="s">
        <v>57</v>
      </c>
      <c r="O8" s="27" t="s">
        <v>56</v>
      </c>
      <c r="P8" s="27" t="s">
        <v>56</v>
      </c>
      <c r="Q8" s="27" t="s">
        <v>56</v>
      </c>
      <c r="R8" s="27" t="s">
        <v>57</v>
      </c>
      <c r="S8" s="27" t="s">
        <v>57</v>
      </c>
      <c r="T8" s="27" t="s">
        <v>57</v>
      </c>
      <c r="U8" s="27" t="s">
        <v>57</v>
      </c>
      <c r="V8" s="27" t="s">
        <v>56</v>
      </c>
      <c r="W8" s="27" t="s">
        <v>56</v>
      </c>
      <c r="X8" s="27" t="s">
        <v>56</v>
      </c>
      <c r="Y8" s="27" t="s">
        <v>56</v>
      </c>
      <c r="Z8" s="27" t="s">
        <v>56</v>
      </c>
      <c r="AA8" s="27" t="s">
        <v>56</v>
      </c>
      <c r="AB8" s="27" t="s">
        <v>56</v>
      </c>
      <c r="AC8" s="27" t="s">
        <v>56</v>
      </c>
      <c r="AD8" s="27" t="s">
        <v>56</v>
      </c>
      <c r="AE8" s="27" t="s">
        <v>56</v>
      </c>
      <c r="AF8" s="27" t="s">
        <v>56</v>
      </c>
      <c r="AG8" s="27" t="s">
        <v>56</v>
      </c>
      <c r="AH8" s="27" t="s">
        <v>56</v>
      </c>
      <c r="AI8" s="27" t="s">
        <v>57</v>
      </c>
      <c r="AJ8" s="27" t="s">
        <v>57</v>
      </c>
      <c r="AK8" s="27" t="s">
        <v>57</v>
      </c>
      <c r="AL8" s="27" t="s">
        <v>56</v>
      </c>
      <c r="AM8" s="27" t="s">
        <v>56</v>
      </c>
      <c r="AN8" s="27" t="s">
        <v>56</v>
      </c>
      <c r="AO8" s="27" t="s">
        <v>56</v>
      </c>
      <c r="AP8" s="27" t="s">
        <v>56</v>
      </c>
      <c r="AQ8" s="27" t="s">
        <v>56</v>
      </c>
      <c r="AR8" s="28">
        <f t="shared" si="0"/>
        <v>11</v>
      </c>
      <c r="AS8" s="30">
        <v>80</v>
      </c>
      <c r="AT8" s="26">
        <v>5</v>
      </c>
      <c r="AU8" s="30" t="s">
        <v>63</v>
      </c>
      <c r="AW8" s="31">
        <f t="shared" si="1"/>
        <v>0.27500000000000002</v>
      </c>
      <c r="AX8" s="19" t="str">
        <f t="shared" si="2"/>
        <v>ESTOURADO</v>
      </c>
    </row>
    <row r="9" spans="1:55" ht="12.95" customHeight="1" x14ac:dyDescent="0.2">
      <c r="A9" s="33">
        <v>6</v>
      </c>
      <c r="B9" s="42" t="s">
        <v>65</v>
      </c>
      <c r="C9" s="43"/>
      <c r="D9" s="27" t="s">
        <v>56</v>
      </c>
      <c r="E9" s="27" t="s">
        <v>56</v>
      </c>
      <c r="F9" s="27" t="s">
        <v>56</v>
      </c>
      <c r="G9" s="27" t="s">
        <v>56</v>
      </c>
      <c r="H9" s="27" t="s">
        <v>56</v>
      </c>
      <c r="I9" s="27" t="s">
        <v>56</v>
      </c>
      <c r="J9" s="27" t="s">
        <v>56</v>
      </c>
      <c r="K9" s="27" t="s">
        <v>56</v>
      </c>
      <c r="L9" s="27" t="s">
        <v>56</v>
      </c>
      <c r="M9" s="27" t="s">
        <v>56</v>
      </c>
      <c r="N9" s="27" t="s">
        <v>56</v>
      </c>
      <c r="O9" s="27" t="s">
        <v>57</v>
      </c>
      <c r="P9" s="27" t="s">
        <v>57</v>
      </c>
      <c r="Q9" s="27" t="s">
        <v>57</v>
      </c>
      <c r="R9" s="27" t="s">
        <v>57</v>
      </c>
      <c r="S9" s="27" t="s">
        <v>57</v>
      </c>
      <c r="T9" s="27" t="s">
        <v>57</v>
      </c>
      <c r="U9" s="27" t="s">
        <v>57</v>
      </c>
      <c r="V9" s="27" t="s">
        <v>57</v>
      </c>
      <c r="W9" s="27" t="s">
        <v>57</v>
      </c>
      <c r="X9" s="27" t="s">
        <v>57</v>
      </c>
      <c r="Y9" s="27" t="s">
        <v>57</v>
      </c>
      <c r="Z9" s="27" t="s">
        <v>57</v>
      </c>
      <c r="AA9" s="27" t="s">
        <v>57</v>
      </c>
      <c r="AB9" s="27" t="s">
        <v>57</v>
      </c>
      <c r="AC9" s="27" t="s">
        <v>57</v>
      </c>
      <c r="AD9" s="27" t="s">
        <v>57</v>
      </c>
      <c r="AE9" s="27" t="s">
        <v>57</v>
      </c>
      <c r="AF9" s="27" t="s">
        <v>57</v>
      </c>
      <c r="AG9" s="27" t="s">
        <v>57</v>
      </c>
      <c r="AH9" s="27" t="s">
        <v>57</v>
      </c>
      <c r="AI9" s="27" t="s">
        <v>57</v>
      </c>
      <c r="AJ9" s="27" t="s">
        <v>57</v>
      </c>
      <c r="AK9" s="27" t="s">
        <v>57</v>
      </c>
      <c r="AL9" s="27" t="s">
        <v>57</v>
      </c>
      <c r="AM9" s="27" t="s">
        <v>57</v>
      </c>
      <c r="AN9" s="27" t="s">
        <v>57</v>
      </c>
      <c r="AO9" s="27" t="s">
        <v>57</v>
      </c>
      <c r="AP9" s="27" t="s">
        <v>57</v>
      </c>
      <c r="AQ9" s="27" t="s">
        <v>57</v>
      </c>
      <c r="AR9" s="28">
        <f t="shared" si="0"/>
        <v>29</v>
      </c>
      <c r="AS9" s="30">
        <v>0</v>
      </c>
      <c r="AT9" s="26">
        <v>6</v>
      </c>
      <c r="AU9" s="30" t="s">
        <v>58</v>
      </c>
      <c r="AW9" s="31">
        <f t="shared" si="1"/>
        <v>0.72499999999999998</v>
      </c>
      <c r="AX9" s="19" t="str">
        <f t="shared" si="2"/>
        <v>ESTOURADO</v>
      </c>
    </row>
    <row r="10" spans="1:55" ht="12.95" customHeight="1" x14ac:dyDescent="0.2">
      <c r="A10" s="26">
        <v>7</v>
      </c>
      <c r="B10" s="42" t="s">
        <v>66</v>
      </c>
      <c r="C10" s="43"/>
      <c r="D10" s="27" t="s">
        <v>56</v>
      </c>
      <c r="E10" s="27" t="s">
        <v>56</v>
      </c>
      <c r="F10" s="27" t="s">
        <v>56</v>
      </c>
      <c r="G10" s="27" t="s">
        <v>56</v>
      </c>
      <c r="H10" s="27" t="s">
        <v>56</v>
      </c>
      <c r="I10" s="27" t="s">
        <v>56</v>
      </c>
      <c r="J10" s="27" t="s">
        <v>56</v>
      </c>
      <c r="K10" s="27" t="s">
        <v>56</v>
      </c>
      <c r="L10" s="27" t="s">
        <v>56</v>
      </c>
      <c r="M10" s="27" t="s">
        <v>56</v>
      </c>
      <c r="N10" s="27" t="s">
        <v>56</v>
      </c>
      <c r="O10" s="27" t="s">
        <v>56</v>
      </c>
      <c r="P10" s="27" t="s">
        <v>56</v>
      </c>
      <c r="Q10" s="27" t="s">
        <v>56</v>
      </c>
      <c r="R10" s="27" t="s">
        <v>56</v>
      </c>
      <c r="S10" s="27" t="s">
        <v>56</v>
      </c>
      <c r="T10" s="27" t="s">
        <v>56</v>
      </c>
      <c r="U10" s="27" t="s">
        <v>56</v>
      </c>
      <c r="V10" s="27" t="s">
        <v>56</v>
      </c>
      <c r="W10" s="27" t="s">
        <v>56</v>
      </c>
      <c r="X10" s="27" t="s">
        <v>56</v>
      </c>
      <c r="Y10" s="27" t="s">
        <v>56</v>
      </c>
      <c r="Z10" s="27" t="s">
        <v>56</v>
      </c>
      <c r="AA10" s="27" t="s">
        <v>56</v>
      </c>
      <c r="AB10" s="27" t="s">
        <v>56</v>
      </c>
      <c r="AC10" s="27" t="s">
        <v>56</v>
      </c>
      <c r="AD10" s="27" t="s">
        <v>56</v>
      </c>
      <c r="AE10" s="27" t="s">
        <v>56</v>
      </c>
      <c r="AF10" s="27" t="s">
        <v>56</v>
      </c>
      <c r="AG10" s="27" t="s">
        <v>56</v>
      </c>
      <c r="AH10" s="27" t="s">
        <v>56</v>
      </c>
      <c r="AI10" s="27" t="s">
        <v>56</v>
      </c>
      <c r="AJ10" s="27" t="s">
        <v>56</v>
      </c>
      <c r="AK10" s="27" t="s">
        <v>56</v>
      </c>
      <c r="AL10" s="27" t="s">
        <v>56</v>
      </c>
      <c r="AM10" s="27" t="s">
        <v>56</v>
      </c>
      <c r="AN10" s="27" t="s">
        <v>56</v>
      </c>
      <c r="AO10" s="27" t="s">
        <v>56</v>
      </c>
      <c r="AP10" s="27" t="s">
        <v>56</v>
      </c>
      <c r="AQ10" s="27" t="s">
        <v>56</v>
      </c>
      <c r="AR10" s="28">
        <f t="shared" si="0"/>
        <v>0</v>
      </c>
      <c r="AS10" s="30">
        <v>100</v>
      </c>
      <c r="AT10" s="26">
        <v>7</v>
      </c>
      <c r="AU10" s="30" t="s">
        <v>63</v>
      </c>
      <c r="AW10" s="31">
        <f t="shared" si="1"/>
        <v>0</v>
      </c>
      <c r="AX10" s="19" t="str">
        <f t="shared" si="2"/>
        <v xml:space="preserve">NORMAL </v>
      </c>
    </row>
    <row r="11" spans="1:55" ht="12.95" customHeight="1" x14ac:dyDescent="0.2">
      <c r="A11" s="26">
        <v>8</v>
      </c>
      <c r="B11" s="42" t="s">
        <v>67</v>
      </c>
      <c r="C11" s="43"/>
      <c r="D11" s="27" t="s">
        <v>56</v>
      </c>
      <c r="E11" s="27" t="s">
        <v>56</v>
      </c>
      <c r="F11" s="27" t="s">
        <v>56</v>
      </c>
      <c r="G11" s="27" t="s">
        <v>56</v>
      </c>
      <c r="H11" s="27" t="s">
        <v>57</v>
      </c>
      <c r="I11" s="27" t="s">
        <v>57</v>
      </c>
      <c r="J11" s="27" t="s">
        <v>57</v>
      </c>
      <c r="K11" s="27" t="s">
        <v>56</v>
      </c>
      <c r="L11" s="27" t="s">
        <v>56</v>
      </c>
      <c r="M11" s="27" t="s">
        <v>56</v>
      </c>
      <c r="N11" s="27" t="s">
        <v>56</v>
      </c>
      <c r="O11" s="27" t="s">
        <v>56</v>
      </c>
      <c r="P11" s="27" t="s">
        <v>56</v>
      </c>
      <c r="Q11" s="27" t="s">
        <v>56</v>
      </c>
      <c r="R11" s="27" t="s">
        <v>56</v>
      </c>
      <c r="S11" s="27" t="s">
        <v>56</v>
      </c>
      <c r="T11" s="27" t="s">
        <v>56</v>
      </c>
      <c r="U11" s="27" t="s">
        <v>56</v>
      </c>
      <c r="V11" s="27" t="s">
        <v>56</v>
      </c>
      <c r="W11" s="27" t="s">
        <v>56</v>
      </c>
      <c r="X11" s="27" t="s">
        <v>56</v>
      </c>
      <c r="Y11" s="27" t="s">
        <v>57</v>
      </c>
      <c r="Z11" s="27" t="s">
        <v>57</v>
      </c>
      <c r="AA11" s="27" t="s">
        <v>57</v>
      </c>
      <c r="AB11" s="27" t="s">
        <v>57</v>
      </c>
      <c r="AC11" s="27" t="s">
        <v>56</v>
      </c>
      <c r="AD11" s="27" t="s">
        <v>56</v>
      </c>
      <c r="AE11" s="27" t="s">
        <v>56</v>
      </c>
      <c r="AF11" s="27" t="s">
        <v>56</v>
      </c>
      <c r="AG11" s="27" t="s">
        <v>56</v>
      </c>
      <c r="AH11" s="27" t="s">
        <v>56</v>
      </c>
      <c r="AI11" s="27" t="s">
        <v>56</v>
      </c>
      <c r="AJ11" s="27" t="s">
        <v>56</v>
      </c>
      <c r="AK11" s="27" t="s">
        <v>56</v>
      </c>
      <c r="AL11" s="27" t="s">
        <v>57</v>
      </c>
      <c r="AM11" s="27" t="s">
        <v>57</v>
      </c>
      <c r="AN11" s="27" t="s">
        <v>57</v>
      </c>
      <c r="AO11" s="27" t="s">
        <v>57</v>
      </c>
      <c r="AP11" s="27" t="s">
        <v>57</v>
      </c>
      <c r="AQ11" s="27" t="s">
        <v>57</v>
      </c>
      <c r="AR11" s="28">
        <f>COUNTIF(T11:AQ11,"|")</f>
        <v>10</v>
      </c>
      <c r="AS11" s="30">
        <v>50</v>
      </c>
      <c r="AT11" s="26">
        <v>8</v>
      </c>
      <c r="AU11" s="30" t="s">
        <v>63</v>
      </c>
      <c r="AW11" s="31">
        <f t="shared" si="1"/>
        <v>0.25</v>
      </c>
      <c r="AX11" s="19" t="str">
        <f t="shared" si="2"/>
        <v xml:space="preserve">NORMAL </v>
      </c>
    </row>
    <row r="12" spans="1:55" ht="12.95" customHeight="1" x14ac:dyDescent="0.2">
      <c r="A12" s="33">
        <v>9</v>
      </c>
      <c r="B12" s="42" t="s">
        <v>68</v>
      </c>
      <c r="C12" s="43"/>
      <c r="D12" s="27" t="s">
        <v>57</v>
      </c>
      <c r="E12" s="27" t="s">
        <v>57</v>
      </c>
      <c r="F12" s="27" t="s">
        <v>57</v>
      </c>
      <c r="G12" s="27" t="s">
        <v>57</v>
      </c>
      <c r="H12" s="27" t="s">
        <v>56</v>
      </c>
      <c r="I12" s="27" t="s">
        <v>56</v>
      </c>
      <c r="J12" s="27" t="s">
        <v>56</v>
      </c>
      <c r="K12" s="27" t="s">
        <v>56</v>
      </c>
      <c r="L12" s="27" t="s">
        <v>56</v>
      </c>
      <c r="M12" s="27" t="s">
        <v>56</v>
      </c>
      <c r="N12" s="27" t="s">
        <v>56</v>
      </c>
      <c r="O12" s="27" t="s">
        <v>57</v>
      </c>
      <c r="P12" s="27" t="s">
        <v>57</v>
      </c>
      <c r="Q12" s="27" t="s">
        <v>57</v>
      </c>
      <c r="R12" s="27" t="s">
        <v>57</v>
      </c>
      <c r="S12" s="27" t="s">
        <v>57</v>
      </c>
      <c r="T12" s="27" t="s">
        <v>57</v>
      </c>
      <c r="U12" s="27" t="s">
        <v>57</v>
      </c>
      <c r="V12" s="27" t="s">
        <v>57</v>
      </c>
      <c r="W12" s="27" t="s">
        <v>57</v>
      </c>
      <c r="X12" s="27" t="s">
        <v>57</v>
      </c>
      <c r="Y12" s="27" t="s">
        <v>57</v>
      </c>
      <c r="Z12" s="27" t="s">
        <v>57</v>
      </c>
      <c r="AA12" s="27" t="s">
        <v>57</v>
      </c>
      <c r="AB12" s="27" t="s">
        <v>57</v>
      </c>
      <c r="AC12" s="27" t="s">
        <v>57</v>
      </c>
      <c r="AD12" s="27" t="s">
        <v>57</v>
      </c>
      <c r="AE12" s="27" t="s">
        <v>57</v>
      </c>
      <c r="AF12" s="27" t="s">
        <v>57</v>
      </c>
      <c r="AG12" s="27" t="s">
        <v>57</v>
      </c>
      <c r="AH12" s="27" t="s">
        <v>57</v>
      </c>
      <c r="AI12" s="27" t="s">
        <v>57</v>
      </c>
      <c r="AJ12" s="27" t="s">
        <v>57</v>
      </c>
      <c r="AK12" s="27" t="s">
        <v>57</v>
      </c>
      <c r="AL12" s="27" t="s">
        <v>57</v>
      </c>
      <c r="AM12" s="27" t="s">
        <v>57</v>
      </c>
      <c r="AN12" s="27" t="s">
        <v>57</v>
      </c>
      <c r="AO12" s="27" t="s">
        <v>57</v>
      </c>
      <c r="AP12" s="27" t="s">
        <v>57</v>
      </c>
      <c r="AQ12" s="27" t="s">
        <v>57</v>
      </c>
      <c r="AR12" s="28">
        <f>COUNTIF(T12:AQ12,"|")</f>
        <v>24</v>
      </c>
      <c r="AS12" s="30">
        <v>0</v>
      </c>
      <c r="AT12" s="26">
        <v>9</v>
      </c>
      <c r="AU12" s="30" t="s">
        <v>58</v>
      </c>
      <c r="AW12" s="31">
        <f t="shared" si="1"/>
        <v>0.6</v>
      </c>
      <c r="AX12" s="19" t="str">
        <f t="shared" si="2"/>
        <v>ESTOURADO</v>
      </c>
    </row>
    <row r="13" spans="1:55" ht="12.95" customHeight="1" x14ac:dyDescent="0.2">
      <c r="A13" s="26">
        <v>10</v>
      </c>
      <c r="B13" s="42" t="s">
        <v>69</v>
      </c>
      <c r="C13" s="43"/>
      <c r="D13" s="27" t="s">
        <v>56</v>
      </c>
      <c r="E13" s="27" t="s">
        <v>56</v>
      </c>
      <c r="F13" s="27" t="s">
        <v>56</v>
      </c>
      <c r="G13" s="27" t="s">
        <v>56</v>
      </c>
      <c r="H13" s="27" t="s">
        <v>56</v>
      </c>
      <c r="I13" s="27" t="s">
        <v>56</v>
      </c>
      <c r="J13" s="27" t="s">
        <v>56</v>
      </c>
      <c r="K13" s="27" t="s">
        <v>56</v>
      </c>
      <c r="L13" s="27" t="s">
        <v>56</v>
      </c>
      <c r="M13" s="27" t="s">
        <v>56</v>
      </c>
      <c r="N13" s="27" t="s">
        <v>56</v>
      </c>
      <c r="O13" s="27" t="s">
        <v>56</v>
      </c>
      <c r="P13" s="27" t="s">
        <v>56</v>
      </c>
      <c r="Q13" s="27" t="s">
        <v>56</v>
      </c>
      <c r="R13" s="27" t="s">
        <v>56</v>
      </c>
      <c r="S13" s="27" t="s">
        <v>56</v>
      </c>
      <c r="T13" s="27" t="s">
        <v>56</v>
      </c>
      <c r="U13" s="27" t="s">
        <v>56</v>
      </c>
      <c r="V13" s="27" t="s">
        <v>57</v>
      </c>
      <c r="W13" s="27" t="s">
        <v>57</v>
      </c>
      <c r="X13" s="27" t="s">
        <v>57</v>
      </c>
      <c r="Y13" s="27" t="s">
        <v>56</v>
      </c>
      <c r="Z13" s="27" t="s">
        <v>56</v>
      </c>
      <c r="AA13" s="27" t="s">
        <v>56</v>
      </c>
      <c r="AB13" s="27" t="s">
        <v>56</v>
      </c>
      <c r="AC13" s="27" t="s">
        <v>56</v>
      </c>
      <c r="AD13" s="27" t="s">
        <v>56</v>
      </c>
      <c r="AE13" s="27" t="s">
        <v>56</v>
      </c>
      <c r="AF13" s="27" t="s">
        <v>56</v>
      </c>
      <c r="AG13" s="27" t="s">
        <v>56</v>
      </c>
      <c r="AH13" s="27" t="s">
        <v>56</v>
      </c>
      <c r="AI13" s="27" t="s">
        <v>57</v>
      </c>
      <c r="AJ13" s="27" t="s">
        <v>57</v>
      </c>
      <c r="AK13" s="27" t="s">
        <v>57</v>
      </c>
      <c r="AL13" s="27" t="s">
        <v>56</v>
      </c>
      <c r="AM13" s="27" t="s">
        <v>56</v>
      </c>
      <c r="AN13" s="27" t="s">
        <v>56</v>
      </c>
      <c r="AO13" s="27" t="s">
        <v>57</v>
      </c>
      <c r="AP13" s="27" t="s">
        <v>57</v>
      </c>
      <c r="AQ13" s="27" t="s">
        <v>57</v>
      </c>
      <c r="AR13" s="28">
        <f t="shared" si="0"/>
        <v>9</v>
      </c>
      <c r="AS13" s="30">
        <v>50</v>
      </c>
      <c r="AT13" s="26">
        <v>10</v>
      </c>
      <c r="AU13" s="30" t="s">
        <v>63</v>
      </c>
      <c r="AW13" s="31">
        <f t="shared" si="1"/>
        <v>0.22500000000000001</v>
      </c>
      <c r="AX13" s="19" t="str">
        <f t="shared" si="2"/>
        <v xml:space="preserve">NORMAL </v>
      </c>
    </row>
    <row r="14" spans="1:55" ht="12.95" customHeight="1" x14ac:dyDescent="0.2">
      <c r="A14" s="26">
        <v>11</v>
      </c>
      <c r="B14" s="42" t="s">
        <v>70</v>
      </c>
      <c r="C14" s="43"/>
      <c r="D14" s="27" t="s">
        <v>56</v>
      </c>
      <c r="E14" s="27" t="s">
        <v>56</v>
      </c>
      <c r="F14" s="27" t="s">
        <v>56</v>
      </c>
      <c r="G14" s="27" t="s">
        <v>56</v>
      </c>
      <c r="H14" s="27" t="s">
        <v>56</v>
      </c>
      <c r="I14" s="27" t="s">
        <v>56</v>
      </c>
      <c r="J14" s="27" t="s">
        <v>56</v>
      </c>
      <c r="K14" s="27" t="s">
        <v>56</v>
      </c>
      <c r="L14" s="27" t="s">
        <v>56</v>
      </c>
      <c r="M14" s="27" t="s">
        <v>56</v>
      </c>
      <c r="N14" s="27" t="s">
        <v>56</v>
      </c>
      <c r="O14" s="27" t="s">
        <v>56</v>
      </c>
      <c r="P14" s="27" t="s">
        <v>56</v>
      </c>
      <c r="Q14" s="27" t="s">
        <v>56</v>
      </c>
      <c r="R14" s="27" t="s">
        <v>56</v>
      </c>
      <c r="S14" s="27" t="s">
        <v>56</v>
      </c>
      <c r="T14" s="27" t="s">
        <v>56</v>
      </c>
      <c r="U14" s="27" t="s">
        <v>56</v>
      </c>
      <c r="V14" s="27" t="s">
        <v>56</v>
      </c>
      <c r="W14" s="27" t="s">
        <v>56</v>
      </c>
      <c r="X14" s="27" t="s">
        <v>56</v>
      </c>
      <c r="Y14" s="27" t="s">
        <v>56</v>
      </c>
      <c r="Z14" s="27" t="s">
        <v>56</v>
      </c>
      <c r="AA14" s="27" t="s">
        <v>56</v>
      </c>
      <c r="AB14" s="27" t="s">
        <v>56</v>
      </c>
      <c r="AC14" s="27" t="s">
        <v>56</v>
      </c>
      <c r="AD14" s="27" t="s">
        <v>56</v>
      </c>
      <c r="AE14" s="27" t="s">
        <v>56</v>
      </c>
      <c r="AF14" s="27" t="s">
        <v>56</v>
      </c>
      <c r="AG14" s="27" t="s">
        <v>56</v>
      </c>
      <c r="AH14" s="27" t="s">
        <v>56</v>
      </c>
      <c r="AI14" s="27" t="s">
        <v>56</v>
      </c>
      <c r="AJ14" s="27" t="s">
        <v>56</v>
      </c>
      <c r="AK14" s="27" t="s">
        <v>56</v>
      </c>
      <c r="AL14" s="27" t="s">
        <v>56</v>
      </c>
      <c r="AM14" s="27" t="s">
        <v>56</v>
      </c>
      <c r="AN14" s="27" t="s">
        <v>56</v>
      </c>
      <c r="AO14" s="27" t="s">
        <v>56</v>
      </c>
      <c r="AP14" s="27" t="s">
        <v>56</v>
      </c>
      <c r="AQ14" s="27" t="s">
        <v>56</v>
      </c>
      <c r="AR14" s="28">
        <f t="shared" si="0"/>
        <v>0</v>
      </c>
      <c r="AS14" s="30">
        <v>100</v>
      </c>
      <c r="AT14" s="26">
        <v>11</v>
      </c>
      <c r="AU14" s="30" t="s">
        <v>63</v>
      </c>
      <c r="AW14" s="31">
        <f t="shared" si="1"/>
        <v>0</v>
      </c>
      <c r="AX14" s="19" t="str">
        <f>IF(AW14&gt;25%,"ESTOURADO","NORMAL ")</f>
        <v xml:space="preserve">NORMAL </v>
      </c>
    </row>
    <row r="15" spans="1:55" ht="12.95" customHeight="1" x14ac:dyDescent="0.2">
      <c r="A15" s="26">
        <v>12</v>
      </c>
      <c r="B15" s="42" t="s">
        <v>71</v>
      </c>
      <c r="C15" s="43"/>
      <c r="D15" s="27" t="s">
        <v>56</v>
      </c>
      <c r="E15" s="27" t="s">
        <v>56</v>
      </c>
      <c r="F15" s="27" t="s">
        <v>56</v>
      </c>
      <c r="G15" s="27" t="s">
        <v>56</v>
      </c>
      <c r="H15" s="27" t="s">
        <v>57</v>
      </c>
      <c r="I15" s="27" t="s">
        <v>57</v>
      </c>
      <c r="J15" s="27" t="s">
        <v>57</v>
      </c>
      <c r="K15" s="27" t="s">
        <v>57</v>
      </c>
      <c r="L15" s="27" t="s">
        <v>57</v>
      </c>
      <c r="M15" s="27" t="s">
        <v>57</v>
      </c>
      <c r="N15" s="27" t="s">
        <v>57</v>
      </c>
      <c r="O15" s="27" t="s">
        <v>57</v>
      </c>
      <c r="P15" s="27" t="s">
        <v>57</v>
      </c>
      <c r="Q15" s="27" t="s">
        <v>57</v>
      </c>
      <c r="R15" s="27" t="s">
        <v>57</v>
      </c>
      <c r="S15" s="27" t="s">
        <v>57</v>
      </c>
      <c r="T15" s="27" t="s">
        <v>57</v>
      </c>
      <c r="U15" s="27" t="s">
        <v>57</v>
      </c>
      <c r="V15" s="27" t="s">
        <v>57</v>
      </c>
      <c r="W15" s="27" t="s">
        <v>57</v>
      </c>
      <c r="X15" s="27" t="s">
        <v>57</v>
      </c>
      <c r="Y15" s="27" t="s">
        <v>57</v>
      </c>
      <c r="Z15" s="27" t="s">
        <v>57</v>
      </c>
      <c r="AA15" s="27" t="s">
        <v>57</v>
      </c>
      <c r="AB15" s="27" t="s">
        <v>57</v>
      </c>
      <c r="AC15" s="27" t="s">
        <v>57</v>
      </c>
      <c r="AD15" s="27" t="s">
        <v>57</v>
      </c>
      <c r="AE15" s="27" t="s">
        <v>57</v>
      </c>
      <c r="AF15" s="27" t="s">
        <v>57</v>
      </c>
      <c r="AG15" s="27" t="s">
        <v>57</v>
      </c>
      <c r="AH15" s="27" t="s">
        <v>57</v>
      </c>
      <c r="AI15" s="27" t="s">
        <v>57</v>
      </c>
      <c r="AJ15" s="27" t="s">
        <v>57</v>
      </c>
      <c r="AK15" s="27" t="s">
        <v>57</v>
      </c>
      <c r="AL15" s="27" t="s">
        <v>57</v>
      </c>
      <c r="AM15" s="27" t="s">
        <v>57</v>
      </c>
      <c r="AN15" s="27" t="s">
        <v>57</v>
      </c>
      <c r="AO15" s="27" t="s">
        <v>57</v>
      </c>
      <c r="AP15" s="27" t="s">
        <v>57</v>
      </c>
      <c r="AQ15" s="27" t="s">
        <v>57</v>
      </c>
      <c r="AR15" s="28">
        <f t="shared" si="0"/>
        <v>36</v>
      </c>
      <c r="AS15" s="30">
        <v>0</v>
      </c>
      <c r="AT15" s="26">
        <v>12</v>
      </c>
      <c r="AU15" s="30" t="s">
        <v>58</v>
      </c>
      <c r="AW15" s="31">
        <f t="shared" si="1"/>
        <v>0.9</v>
      </c>
      <c r="AX15" s="19" t="str">
        <f>IF(AW15&gt;0.25,"ESTOURADO","NORMAL ")</f>
        <v>ESTOURADO</v>
      </c>
    </row>
    <row r="16" spans="1:55" ht="12.95" customHeight="1" x14ac:dyDescent="0.2">
      <c r="A16" s="33">
        <v>13</v>
      </c>
      <c r="B16" s="42" t="s">
        <v>72</v>
      </c>
      <c r="C16" s="43"/>
      <c r="D16" s="27" t="s">
        <v>56</v>
      </c>
      <c r="E16" s="27" t="s">
        <v>56</v>
      </c>
      <c r="F16" s="27" t="s">
        <v>56</v>
      </c>
      <c r="G16" s="27" t="s">
        <v>56</v>
      </c>
      <c r="H16" s="27" t="s">
        <v>56</v>
      </c>
      <c r="I16" s="27" t="s">
        <v>56</v>
      </c>
      <c r="J16" s="27" t="s">
        <v>56</v>
      </c>
      <c r="K16" s="27" t="s">
        <v>57</v>
      </c>
      <c r="L16" s="27" t="s">
        <v>57</v>
      </c>
      <c r="M16" s="27" t="s">
        <v>57</v>
      </c>
      <c r="N16" s="27" t="s">
        <v>57</v>
      </c>
      <c r="O16" s="27" t="s">
        <v>57</v>
      </c>
      <c r="P16" s="27" t="s">
        <v>57</v>
      </c>
      <c r="Q16" s="27" t="s">
        <v>57</v>
      </c>
      <c r="R16" s="27" t="s">
        <v>56</v>
      </c>
      <c r="S16" s="27" t="s">
        <v>56</v>
      </c>
      <c r="T16" s="27" t="s">
        <v>56</v>
      </c>
      <c r="U16" s="27" t="s">
        <v>56</v>
      </c>
      <c r="V16" s="27" t="s">
        <v>56</v>
      </c>
      <c r="W16" s="27" t="s">
        <v>56</v>
      </c>
      <c r="X16" s="27" t="s">
        <v>56</v>
      </c>
      <c r="Y16" s="27" t="s">
        <v>56</v>
      </c>
      <c r="Z16" s="27" t="s">
        <v>56</v>
      </c>
      <c r="AA16" s="27" t="s">
        <v>56</v>
      </c>
      <c r="AB16" s="27" t="s">
        <v>56</v>
      </c>
      <c r="AC16" s="27" t="s">
        <v>56</v>
      </c>
      <c r="AD16" s="27" t="s">
        <v>56</v>
      </c>
      <c r="AE16" s="27" t="s">
        <v>56</v>
      </c>
      <c r="AF16" s="27" t="s">
        <v>57</v>
      </c>
      <c r="AG16" s="27" t="s">
        <v>57</v>
      </c>
      <c r="AH16" s="27" t="s">
        <v>57</v>
      </c>
      <c r="AI16" s="27" t="s">
        <v>56</v>
      </c>
      <c r="AJ16" s="27" t="s">
        <v>56</v>
      </c>
      <c r="AK16" s="27" t="s">
        <v>56</v>
      </c>
      <c r="AL16" s="27" t="s">
        <v>56</v>
      </c>
      <c r="AM16" s="27" t="s">
        <v>56</v>
      </c>
      <c r="AN16" s="27" t="s">
        <v>56</v>
      </c>
      <c r="AO16" s="27" t="s">
        <v>56</v>
      </c>
      <c r="AP16" s="27" t="s">
        <v>56</v>
      </c>
      <c r="AQ16" s="27" t="s">
        <v>56</v>
      </c>
      <c r="AR16" s="28">
        <f t="shared" si="0"/>
        <v>10</v>
      </c>
      <c r="AS16" s="30">
        <v>50</v>
      </c>
      <c r="AT16" s="26">
        <v>13</v>
      </c>
      <c r="AU16" s="30" t="s">
        <v>63</v>
      </c>
      <c r="AW16" s="31">
        <f t="shared" si="1"/>
        <v>0.25</v>
      </c>
      <c r="AX16" s="19" t="str">
        <f>IF(AW16&gt;25%,"ESTOURADO","NORMAL ")</f>
        <v xml:space="preserve">NORMAL </v>
      </c>
      <c r="AZ16"/>
    </row>
    <row r="17" spans="1:50" ht="12.95" customHeight="1" x14ac:dyDescent="0.2">
      <c r="A17" s="26">
        <v>14</v>
      </c>
      <c r="B17" s="42" t="s">
        <v>73</v>
      </c>
      <c r="C17" s="43"/>
      <c r="D17" s="27" t="s">
        <v>56</v>
      </c>
      <c r="E17" s="27" t="s">
        <v>56</v>
      </c>
      <c r="F17" s="27" t="s">
        <v>56</v>
      </c>
      <c r="G17" s="27" t="s">
        <v>56</v>
      </c>
      <c r="H17" s="27" t="s">
        <v>56</v>
      </c>
      <c r="I17" s="27" t="s">
        <v>56</v>
      </c>
      <c r="J17" s="27" t="s">
        <v>56</v>
      </c>
      <c r="K17" s="27" t="s">
        <v>56</v>
      </c>
      <c r="L17" s="27" t="s">
        <v>56</v>
      </c>
      <c r="M17" s="27" t="s">
        <v>56</v>
      </c>
      <c r="N17" s="27" t="s">
        <v>56</v>
      </c>
      <c r="O17" s="27" t="s">
        <v>57</v>
      </c>
      <c r="P17" s="27" t="s">
        <v>57</v>
      </c>
      <c r="Q17" s="27" t="s">
        <v>57</v>
      </c>
      <c r="R17" s="27" t="s">
        <v>57</v>
      </c>
      <c r="S17" s="27" t="s">
        <v>57</v>
      </c>
      <c r="T17" s="27" t="s">
        <v>57</v>
      </c>
      <c r="U17" s="27" t="s">
        <v>57</v>
      </c>
      <c r="V17" s="27" t="s">
        <v>57</v>
      </c>
      <c r="W17" s="27" t="s">
        <v>57</v>
      </c>
      <c r="X17" s="27" t="s">
        <v>57</v>
      </c>
      <c r="Y17" s="27" t="s">
        <v>57</v>
      </c>
      <c r="Z17" s="27" t="s">
        <v>57</v>
      </c>
      <c r="AA17" s="27" t="s">
        <v>57</v>
      </c>
      <c r="AB17" s="27" t="s">
        <v>57</v>
      </c>
      <c r="AC17" s="27" t="s">
        <v>57</v>
      </c>
      <c r="AD17" s="27" t="s">
        <v>57</v>
      </c>
      <c r="AE17" s="27" t="s">
        <v>57</v>
      </c>
      <c r="AF17" s="27" t="s">
        <v>57</v>
      </c>
      <c r="AG17" s="27" t="s">
        <v>57</v>
      </c>
      <c r="AH17" s="27" t="s">
        <v>57</v>
      </c>
      <c r="AI17" s="27" t="s">
        <v>57</v>
      </c>
      <c r="AJ17" s="27" t="s">
        <v>57</v>
      </c>
      <c r="AK17" s="27" t="s">
        <v>57</v>
      </c>
      <c r="AL17" s="27" t="s">
        <v>57</v>
      </c>
      <c r="AM17" s="27" t="s">
        <v>57</v>
      </c>
      <c r="AN17" s="27" t="s">
        <v>57</v>
      </c>
      <c r="AO17" s="27" t="s">
        <v>57</v>
      </c>
      <c r="AP17" s="27" t="s">
        <v>57</v>
      </c>
      <c r="AQ17" s="27" t="s">
        <v>57</v>
      </c>
      <c r="AR17" s="28">
        <f t="shared" si="0"/>
        <v>29</v>
      </c>
      <c r="AS17" s="30">
        <v>0</v>
      </c>
      <c r="AT17" s="26">
        <v>14</v>
      </c>
      <c r="AU17" s="30" t="s">
        <v>58</v>
      </c>
      <c r="AW17" s="31">
        <f t="shared" si="1"/>
        <v>0.72499999999999998</v>
      </c>
      <c r="AX17" s="19" t="str">
        <f t="shared" ref="AX17:AX34" si="3">IF(AW17&gt;0.25,"ESTOURADO","NORMAL ")</f>
        <v>ESTOURADO</v>
      </c>
    </row>
    <row r="18" spans="1:50" ht="12.95" customHeight="1" x14ac:dyDescent="0.2">
      <c r="A18" s="33"/>
      <c r="B18" s="42"/>
      <c r="C18" s="43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8"/>
      <c r="AS18" s="30"/>
      <c r="AT18" s="26"/>
      <c r="AU18" s="30"/>
      <c r="AW18" s="31">
        <f t="shared" si="1"/>
        <v>0</v>
      </c>
      <c r="AX18" s="19" t="str">
        <f t="shared" si="3"/>
        <v xml:space="preserve">NORMAL </v>
      </c>
    </row>
    <row r="19" spans="1:50" ht="12.95" customHeight="1" x14ac:dyDescent="0.2">
      <c r="A19" s="26"/>
      <c r="B19" s="42"/>
      <c r="C19" s="43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8"/>
      <c r="AS19" s="30"/>
      <c r="AT19" s="26"/>
      <c r="AU19" s="30"/>
      <c r="AW19" s="31">
        <f t="shared" si="1"/>
        <v>0</v>
      </c>
      <c r="AX19" s="19" t="str">
        <f t="shared" si="3"/>
        <v xml:space="preserve">NORMAL </v>
      </c>
    </row>
    <row r="20" spans="1:50" ht="12.95" customHeight="1" x14ac:dyDescent="0.2">
      <c r="A20" s="33"/>
      <c r="B20" s="42"/>
      <c r="C20" s="43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8"/>
      <c r="AS20" s="30"/>
      <c r="AT20" s="26"/>
      <c r="AU20" s="30"/>
      <c r="AW20" s="31">
        <f t="shared" si="1"/>
        <v>0</v>
      </c>
      <c r="AX20" s="19" t="str">
        <f t="shared" si="3"/>
        <v xml:space="preserve">NORMAL </v>
      </c>
    </row>
    <row r="21" spans="1:50" ht="12.95" customHeight="1" x14ac:dyDescent="0.2">
      <c r="A21" s="26"/>
      <c r="B21" s="42"/>
      <c r="C21" s="43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8"/>
      <c r="AS21" s="30"/>
      <c r="AT21" s="26"/>
      <c r="AU21" s="30"/>
      <c r="AW21" s="31">
        <f t="shared" si="1"/>
        <v>0</v>
      </c>
      <c r="AX21" s="19" t="str">
        <f t="shared" si="3"/>
        <v xml:space="preserve">NORMAL </v>
      </c>
    </row>
    <row r="22" spans="1:50" ht="12.95" customHeight="1" x14ac:dyDescent="0.2">
      <c r="A22" s="33"/>
      <c r="B22" s="42"/>
      <c r="C22" s="43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8"/>
      <c r="AS22" s="30"/>
      <c r="AT22" s="26"/>
      <c r="AU22" s="30"/>
      <c r="AW22" s="31">
        <f t="shared" si="1"/>
        <v>0</v>
      </c>
      <c r="AX22" s="19" t="str">
        <f t="shared" si="3"/>
        <v xml:space="preserve">NORMAL </v>
      </c>
    </row>
    <row r="23" spans="1:50" ht="12.95" customHeight="1" x14ac:dyDescent="0.2">
      <c r="A23" s="26"/>
      <c r="B23" s="45"/>
      <c r="C23" s="46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8"/>
      <c r="AS23" s="30"/>
      <c r="AT23" s="26"/>
      <c r="AU23" s="30"/>
      <c r="AW23" s="31">
        <f t="shared" si="1"/>
        <v>0</v>
      </c>
      <c r="AX23" s="19" t="str">
        <f t="shared" si="3"/>
        <v xml:space="preserve">NORMAL </v>
      </c>
    </row>
    <row r="24" spans="1:50" ht="12.95" customHeight="1" x14ac:dyDescent="0.2">
      <c r="A24" s="44"/>
      <c r="B24" s="79"/>
      <c r="C24" s="80"/>
      <c r="D24" s="38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8"/>
      <c r="AS24" s="30"/>
      <c r="AT24" s="26"/>
      <c r="AU24" s="30"/>
      <c r="AW24" s="31">
        <f t="shared" si="1"/>
        <v>0</v>
      </c>
      <c r="AX24" s="19" t="str">
        <f t="shared" si="3"/>
        <v xml:space="preserve">NORMAL </v>
      </c>
    </row>
    <row r="25" spans="1:50" ht="12.95" customHeight="1" x14ac:dyDescent="0.2">
      <c r="A25" s="26"/>
      <c r="B25" s="94"/>
      <c r="C25" s="95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8"/>
      <c r="AS25" s="30"/>
      <c r="AT25" s="26"/>
      <c r="AU25" s="30"/>
      <c r="AW25" s="31">
        <f t="shared" si="1"/>
        <v>0</v>
      </c>
      <c r="AX25" s="19" t="str">
        <f t="shared" si="3"/>
        <v xml:space="preserve">NORMAL </v>
      </c>
    </row>
    <row r="26" spans="1:50" ht="12.95" customHeight="1" x14ac:dyDescent="0.2">
      <c r="A26" s="33"/>
      <c r="B26" s="79"/>
      <c r="C26" s="80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8"/>
      <c r="AS26" s="30"/>
      <c r="AT26" s="33"/>
      <c r="AU26" s="30"/>
      <c r="AW26" s="31">
        <f t="shared" si="1"/>
        <v>0</v>
      </c>
      <c r="AX26" s="19" t="str">
        <f t="shared" si="3"/>
        <v xml:space="preserve">NORMAL </v>
      </c>
    </row>
    <row r="27" spans="1:50" ht="12.95" customHeight="1" x14ac:dyDescent="0.2">
      <c r="A27" s="26"/>
      <c r="B27" s="79"/>
      <c r="C27" s="80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8"/>
      <c r="AS27" s="30"/>
      <c r="AT27" s="33"/>
      <c r="AU27" s="30"/>
      <c r="AW27" s="31">
        <f t="shared" si="1"/>
        <v>0</v>
      </c>
      <c r="AX27" s="19" t="str">
        <f t="shared" si="3"/>
        <v xml:space="preserve">NORMAL </v>
      </c>
    </row>
    <row r="28" spans="1:50" ht="12.95" customHeight="1" x14ac:dyDescent="0.2">
      <c r="A28" s="33"/>
      <c r="B28" s="79"/>
      <c r="C28" s="80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8"/>
      <c r="AS28" s="30"/>
      <c r="AT28" s="33"/>
      <c r="AU28" s="30"/>
      <c r="AW28" s="31">
        <f t="shared" si="1"/>
        <v>0</v>
      </c>
      <c r="AX28" s="19" t="str">
        <f t="shared" si="3"/>
        <v xml:space="preserve">NORMAL </v>
      </c>
    </row>
    <row r="29" spans="1:50" ht="12.95" customHeight="1" x14ac:dyDescent="0.2">
      <c r="A29" s="26"/>
      <c r="B29" s="79"/>
      <c r="C29" s="80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8"/>
      <c r="AS29" s="30"/>
      <c r="AT29" s="33"/>
      <c r="AU29" s="30"/>
      <c r="AW29" s="31">
        <f t="shared" si="1"/>
        <v>0</v>
      </c>
      <c r="AX29" s="19" t="str">
        <f t="shared" si="3"/>
        <v xml:space="preserve">NORMAL </v>
      </c>
    </row>
    <row r="30" spans="1:50" ht="12.95" customHeight="1" x14ac:dyDescent="0.2">
      <c r="A30" s="26"/>
      <c r="B30" s="79"/>
      <c r="C30" s="80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8"/>
      <c r="AS30" s="30"/>
      <c r="AT30" s="33"/>
      <c r="AU30" s="30"/>
      <c r="AW30" s="31">
        <f t="shared" si="1"/>
        <v>0</v>
      </c>
      <c r="AX30" s="19" t="str">
        <f t="shared" si="3"/>
        <v xml:space="preserve">NORMAL </v>
      </c>
    </row>
    <row r="31" spans="1:50" ht="12.95" customHeight="1" x14ac:dyDescent="0.2">
      <c r="A31" s="33"/>
      <c r="B31" s="79"/>
      <c r="C31" s="80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8"/>
      <c r="AS31" s="30"/>
      <c r="AT31" s="33"/>
      <c r="AU31" s="30"/>
      <c r="AW31" s="31">
        <f t="shared" si="1"/>
        <v>0</v>
      </c>
      <c r="AX31" s="19" t="str">
        <f t="shared" si="3"/>
        <v xml:space="preserve">NORMAL </v>
      </c>
    </row>
    <row r="32" spans="1:50" ht="12.95" customHeight="1" x14ac:dyDescent="0.2">
      <c r="A32" s="26"/>
      <c r="B32" s="79"/>
      <c r="C32" s="80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8"/>
      <c r="AS32" s="30"/>
      <c r="AT32" s="33"/>
      <c r="AU32" s="30"/>
      <c r="AW32" s="31">
        <f t="shared" si="1"/>
        <v>0</v>
      </c>
      <c r="AX32" s="19" t="str">
        <f t="shared" si="3"/>
        <v xml:space="preserve">NORMAL </v>
      </c>
    </row>
    <row r="33" spans="1:50" ht="12.95" customHeight="1" x14ac:dyDescent="0.2">
      <c r="A33" s="26"/>
      <c r="B33" s="79"/>
      <c r="C33" s="80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8"/>
      <c r="AS33" s="30"/>
      <c r="AT33" s="33"/>
      <c r="AU33" s="30"/>
      <c r="AW33" s="31">
        <f t="shared" si="1"/>
        <v>0</v>
      </c>
      <c r="AX33" s="19" t="str">
        <f t="shared" si="3"/>
        <v xml:space="preserve">NORMAL </v>
      </c>
    </row>
    <row r="34" spans="1:50" ht="12.95" customHeight="1" x14ac:dyDescent="0.2">
      <c r="A34" s="26"/>
      <c r="B34" s="79"/>
      <c r="C34" s="80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8"/>
      <c r="AS34" s="30"/>
      <c r="AT34" s="33"/>
      <c r="AU34" s="30"/>
      <c r="AW34" s="31">
        <f t="shared" si="1"/>
        <v>0</v>
      </c>
      <c r="AX34" s="19" t="str">
        <f t="shared" si="3"/>
        <v xml:space="preserve">NORMAL </v>
      </c>
    </row>
    <row r="35" spans="1:50" ht="12.95" customHeight="1" x14ac:dyDescent="0.2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87"/>
      <c r="AS35" s="87"/>
      <c r="AT35" s="87"/>
      <c r="AU35" s="87"/>
    </row>
    <row r="36" spans="1:50" ht="12.95" customHeight="1" x14ac:dyDescent="0.2">
      <c r="A36" s="24"/>
      <c r="B36" s="24"/>
      <c r="C36" s="24"/>
      <c r="D36" s="24"/>
      <c r="AN36" s="24"/>
      <c r="AO36" s="24"/>
      <c r="AP36" s="24"/>
      <c r="AQ36" s="24"/>
      <c r="AR36" s="24"/>
      <c r="AS36" s="24"/>
      <c r="AT36" s="24"/>
      <c r="AU36" s="24"/>
    </row>
    <row r="37" spans="1:50" ht="12.95" customHeight="1" x14ac:dyDescent="0.2">
      <c r="A37" s="88" t="s">
        <v>74</v>
      </c>
      <c r="B37" s="88"/>
      <c r="C37" s="88"/>
      <c r="D37" s="88"/>
      <c r="E37" s="88"/>
      <c r="F37" s="88"/>
      <c r="G37" s="88"/>
      <c r="H37" s="88"/>
      <c r="I37" s="88"/>
      <c r="J37" s="85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5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24"/>
      <c r="AL37" s="89"/>
      <c r="AM37" s="89"/>
      <c r="AN37" s="89"/>
      <c r="AO37" s="89"/>
      <c r="AP37" s="89"/>
      <c r="AQ37" s="89"/>
      <c r="AR37" s="89"/>
      <c r="AS37" s="89"/>
      <c r="AT37" s="89"/>
      <c r="AU37" s="89"/>
    </row>
    <row r="38" spans="1:50" ht="12.95" customHeight="1" x14ac:dyDescent="0.2">
      <c r="A38" s="88"/>
      <c r="B38" s="88"/>
      <c r="C38" s="88"/>
      <c r="D38" s="88"/>
      <c r="E38" s="88"/>
      <c r="F38" s="88"/>
      <c r="G38" s="88"/>
      <c r="H38" s="88"/>
      <c r="I38" s="88"/>
      <c r="J38" s="85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5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24"/>
      <c r="AL38" s="89"/>
      <c r="AM38" s="89"/>
      <c r="AN38" s="89"/>
      <c r="AO38" s="89"/>
      <c r="AP38" s="89"/>
      <c r="AQ38" s="89"/>
      <c r="AR38" s="89"/>
      <c r="AS38" s="89"/>
      <c r="AT38" s="89"/>
      <c r="AU38" s="89"/>
    </row>
    <row r="39" spans="1:50" ht="12.95" customHeight="1" x14ac:dyDescent="0.15">
      <c r="A39" s="34" t="s">
        <v>75</v>
      </c>
      <c r="B39" s="91"/>
      <c r="C39" s="91"/>
      <c r="D39" s="35"/>
      <c r="E39" s="35"/>
      <c r="F39" s="35"/>
      <c r="G39" s="35"/>
      <c r="H39" s="35"/>
      <c r="I39" s="35"/>
      <c r="J39" s="85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85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24"/>
      <c r="AL39" s="90"/>
      <c r="AM39" s="90"/>
      <c r="AN39" s="90"/>
      <c r="AO39" s="90"/>
      <c r="AP39" s="90"/>
      <c r="AQ39" s="90"/>
      <c r="AR39" s="90"/>
      <c r="AS39" s="90"/>
      <c r="AT39" s="90"/>
      <c r="AU39" s="90"/>
    </row>
    <row r="40" spans="1:50" ht="12.95" customHeight="1" x14ac:dyDescent="0.2">
      <c r="A40" s="36" t="s">
        <v>76</v>
      </c>
      <c r="B40" s="82"/>
      <c r="C40" s="82"/>
      <c r="D40" s="37"/>
      <c r="E40" s="37"/>
      <c r="F40" s="37"/>
      <c r="G40" s="37"/>
      <c r="H40" s="37"/>
      <c r="I40" s="37"/>
      <c r="J40" s="85"/>
      <c r="K40" s="83" t="s">
        <v>77</v>
      </c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5"/>
      <c r="X40" s="83" t="s">
        <v>78</v>
      </c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24"/>
      <c r="AL40" s="83" t="s">
        <v>79</v>
      </c>
      <c r="AM40" s="83"/>
      <c r="AN40" s="83"/>
      <c r="AO40" s="83"/>
      <c r="AP40" s="83"/>
      <c r="AQ40" s="83"/>
      <c r="AR40" s="83"/>
      <c r="AS40" s="83"/>
      <c r="AT40" s="83"/>
      <c r="AU40" s="83"/>
    </row>
    <row r="41" spans="1:50" ht="12.95" customHeight="1" x14ac:dyDescent="0.2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5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24"/>
      <c r="AL41" s="84"/>
      <c r="AM41" s="84"/>
      <c r="AN41" s="84"/>
      <c r="AO41" s="84"/>
      <c r="AP41" s="84"/>
      <c r="AQ41" s="84"/>
      <c r="AR41" s="84"/>
      <c r="AS41" s="84"/>
      <c r="AT41" s="84"/>
      <c r="AU41" s="84"/>
    </row>
    <row r="42" spans="1:50" ht="12.95" customHeight="1" x14ac:dyDescent="0.2">
      <c r="A42" s="86" t="s">
        <v>80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</row>
    <row r="43" spans="1:50" ht="12.95" customHeight="1" x14ac:dyDescent="0.15">
      <c r="A43" s="81" t="s">
        <v>81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</row>
  </sheetData>
  <sheetProtection selectLockedCells="1" selectUnlockedCells="1"/>
  <sortState xmlns:xlrd2="http://schemas.microsoft.com/office/spreadsheetml/2017/richdata2" ref="B4:W24">
    <sortCondition ref="B4:B24"/>
  </sortState>
  <mergeCells count="40">
    <mergeCell ref="A2:A3"/>
    <mergeCell ref="B2:B3"/>
    <mergeCell ref="B24:C24"/>
    <mergeCell ref="D2:G2"/>
    <mergeCell ref="BC2:BC3"/>
    <mergeCell ref="AX2:AX3"/>
    <mergeCell ref="BA2:BA3"/>
    <mergeCell ref="AR2:AR3"/>
    <mergeCell ref="AW2:AW3"/>
    <mergeCell ref="B26:C26"/>
    <mergeCell ref="AS2:AS3"/>
    <mergeCell ref="AT2:AT3"/>
    <mergeCell ref="AU2:AU3"/>
    <mergeCell ref="B25:C25"/>
    <mergeCell ref="H2:X2"/>
    <mergeCell ref="Y2:AK2"/>
    <mergeCell ref="AL2:AQ2"/>
    <mergeCell ref="B33:C33"/>
    <mergeCell ref="A35:AU35"/>
    <mergeCell ref="A37:I38"/>
    <mergeCell ref="J37:J41"/>
    <mergeCell ref="K37:V39"/>
    <mergeCell ref="W37:W41"/>
    <mergeCell ref="X37:AJ39"/>
    <mergeCell ref="AL37:AU39"/>
    <mergeCell ref="B39:C39"/>
    <mergeCell ref="B34:C34"/>
    <mergeCell ref="A43:AU43"/>
    <mergeCell ref="B40:C40"/>
    <mergeCell ref="K40:V41"/>
    <mergeCell ref="X40:AJ41"/>
    <mergeCell ref="AL40:AU41"/>
    <mergeCell ref="A41:I41"/>
    <mergeCell ref="A42:AU42"/>
    <mergeCell ref="B27:C27"/>
    <mergeCell ref="B28:C28"/>
    <mergeCell ref="B29:C29"/>
    <mergeCell ref="B31:C31"/>
    <mergeCell ref="B32:C32"/>
    <mergeCell ref="B30:C30"/>
  </mergeCells>
  <conditionalFormatting sqref="AX1:AX2 AX4:AX65536 BA2:BA3 BC2:BC3">
    <cfRule type="expression" dxfId="1" priority="1" stopIfTrue="1">
      <formula>NOT(ISERROR(SEARCH("NORMAL",AX1)))</formula>
    </cfRule>
    <cfRule type="expression" dxfId="0" priority="2" stopIfTrue="1">
      <formula>NOT(ISERROR(SEARCH("ESTOURADO",AX1)))</formula>
    </cfRule>
  </conditionalFormatting>
  <printOptions horizontalCentered="1" verticalCentered="1"/>
  <pageMargins left="0" right="0" top="0" bottom="0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FD 4 A 19 OUT</vt:lpstr>
      <vt:lpstr>VD 4 a 19OUT</vt:lpstr>
      <vt:lpstr>'FD 4 A 19 OUT'!Area_de_impressao</vt:lpstr>
      <vt:lpstr>'VD 4 a 19OUT'!Area_de_impressao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rodrigo pereira</cp:lastModifiedBy>
  <cp:revision/>
  <dcterms:created xsi:type="dcterms:W3CDTF">2023-09-04T17:51:49Z</dcterms:created>
  <dcterms:modified xsi:type="dcterms:W3CDTF">2023-12-14T12:00:03Z</dcterms:modified>
  <cp:category/>
  <cp:contentStatus/>
</cp:coreProperties>
</file>