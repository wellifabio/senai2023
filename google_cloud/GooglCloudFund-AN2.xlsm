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31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31f\AC\Temp\"/>
    </mc:Choice>
  </mc:AlternateContent>
  <xr:revisionPtr revIDLastSave="0" documentId="8_{B13B341F-0893-4F90-8194-056091D4CB72}" xr6:coauthVersionLast="47" xr6:coauthVersionMax="47" xr10:uidLastSave="{00000000-0000-0000-0000-000000000000}"/>
  <bookViews>
    <workbookView xWindow="-60" yWindow="-60" windowWidth="15480" windowHeight="11640" tabRatio="912" firstSheet="1" activeTab="1" xr2:uid="{00000000-000D-0000-FFFF-FFFF00000000}"/>
  </bookViews>
  <sheets>
    <sheet name="FD 4 A 19 OUT" sheetId="1" r:id="rId1"/>
    <sheet name="VD 4 a 19OUT" sheetId="2" r:id="rId2"/>
  </sheets>
  <definedNames>
    <definedName name="_xlnm.Print_Area" localSheetId="0">'FD 4 A 19 OUT'!$A$2:$Y$44</definedName>
    <definedName name="_xlnm.Print_Area" localSheetId="1">'VD 4 a 19OUT'!$A$1:$AU$43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4" i="2" l="1"/>
  <c r="AW4" i="2"/>
  <c r="AR5" i="2"/>
  <c r="AW5" i="2"/>
  <c r="AX5" i="2"/>
  <c r="AR6" i="2"/>
  <c r="AW6" i="2"/>
  <c r="AX6" i="2"/>
  <c r="AR7" i="2"/>
  <c r="AW7" i="2"/>
  <c r="AX7" i="2"/>
  <c r="AR8" i="2"/>
  <c r="AW8" i="2"/>
  <c r="AX8" i="2"/>
  <c r="AR9" i="2"/>
  <c r="AW9" i="2"/>
  <c r="AX9" i="2"/>
  <c r="AU9" i="2"/>
  <c r="AR10" i="2"/>
  <c r="AW10" i="2"/>
  <c r="AX10" i="2"/>
  <c r="AU10" i="2"/>
  <c r="AR11" i="2"/>
  <c r="AW11" i="2"/>
  <c r="AX11" i="2"/>
  <c r="AU11" i="2"/>
  <c r="AR12" i="2"/>
  <c r="AW12" i="2"/>
  <c r="AX12" i="2"/>
  <c r="AU12" i="2"/>
  <c r="AR13" i="2"/>
  <c r="AW13" i="2"/>
  <c r="AX13" i="2"/>
  <c r="AU13" i="2"/>
  <c r="AR14" i="2"/>
  <c r="AW14" i="2"/>
  <c r="AX14" i="2"/>
  <c r="AU14" i="2"/>
  <c r="AR15" i="2"/>
  <c r="AW15" i="2"/>
  <c r="AX15" i="2"/>
  <c r="AU15" i="2"/>
  <c r="AR16" i="2"/>
  <c r="AW16" i="2"/>
  <c r="AX16" i="2"/>
  <c r="AU16" i="2"/>
  <c r="AR17" i="2"/>
  <c r="AW17" i="2"/>
  <c r="AX17" i="2"/>
  <c r="AU17" i="2"/>
  <c r="AR18" i="2"/>
  <c r="AW18" i="2"/>
  <c r="AX18" i="2"/>
  <c r="AU18" i="2"/>
  <c r="AR19" i="2"/>
  <c r="AW19" i="2"/>
  <c r="AX19" i="2"/>
  <c r="AU19" i="2"/>
  <c r="AR20" i="2"/>
  <c r="AW20" i="2"/>
  <c r="AX20" i="2"/>
  <c r="AU20" i="2"/>
  <c r="AR21" i="2"/>
  <c r="AW21" i="2"/>
  <c r="AX21" i="2"/>
  <c r="AU21" i="2"/>
  <c r="AR22" i="2"/>
  <c r="AW22" i="2"/>
  <c r="AX22" i="2"/>
  <c r="AU22" i="2"/>
  <c r="AR23" i="2"/>
  <c r="AW23" i="2"/>
  <c r="AX23" i="2"/>
  <c r="AU23" i="2"/>
  <c r="AR24" i="2"/>
  <c r="AW24" i="2"/>
  <c r="AX24" i="2"/>
  <c r="AU24" i="2"/>
  <c r="AR25" i="2"/>
  <c r="AW25" i="2"/>
  <c r="AX25" i="2"/>
  <c r="AU25" i="2"/>
  <c r="AR26" i="2"/>
  <c r="AW26" i="2"/>
  <c r="AX26" i="2"/>
  <c r="AU26" i="2"/>
  <c r="AR27" i="2"/>
  <c r="AW27" i="2"/>
  <c r="AX27" i="2"/>
  <c r="AU27" i="2"/>
  <c r="AR28" i="2"/>
  <c r="AW28" i="2"/>
  <c r="AX28" i="2"/>
  <c r="AU28" i="2"/>
  <c r="AR29" i="2"/>
  <c r="AW29" i="2"/>
  <c r="AX29" i="2"/>
  <c r="AU29" i="2"/>
  <c r="AR30" i="2"/>
  <c r="AW30" i="2"/>
  <c r="AX30" i="2"/>
  <c r="AU30" i="2"/>
  <c r="AR31" i="2"/>
  <c r="AW31" i="2"/>
  <c r="AX31" i="2"/>
  <c r="AU31" i="2"/>
  <c r="AR32" i="2"/>
  <c r="AW32" i="2"/>
  <c r="AX32" i="2"/>
  <c r="AU32" i="2"/>
  <c r="AR33" i="2"/>
  <c r="AW33" i="2"/>
  <c r="AX33" i="2"/>
  <c r="AU33" i="2"/>
  <c r="AR34" i="2"/>
  <c r="AW34" i="2"/>
  <c r="AX34" i="2"/>
  <c r="AU34" i="2"/>
  <c r="AX4" i="2"/>
  <c r="BA4" i="2"/>
</calcChain>
</file>

<file path=xl/sharedStrings.xml><?xml version="1.0" encoding="utf-8"?>
<sst xmlns="http://schemas.openxmlformats.org/spreadsheetml/2006/main" count="446" uniqueCount="90">
  <si>
    <t>DATA</t>
  </si>
  <si>
    <t>HORAS</t>
  </si>
  <si>
    <t>CAPACIDADE TÉCNICA</t>
  </si>
  <si>
    <t xml:space="preserve">ESCOLA SENAI " Jaguariúna "        Rua Anesia Venturini Zani, 62  </t>
  </si>
  <si>
    <t>Organização das turmas e obtenção dos créditos</t>
  </si>
  <si>
    <t xml:space="preserve">(19) 3837-6300 </t>
  </si>
  <si>
    <t>Criar e gerenciar recursos de nuvem</t>
  </si>
  <si>
    <t>DIÁRIO DE CLASSE</t>
  </si>
  <si>
    <t>FORMAÇÃO INICIAL E CONTINUADA</t>
  </si>
  <si>
    <t>Executar tarefas de infra básica</t>
  </si>
  <si>
    <t>N° Proposta / Ano</t>
  </si>
  <si>
    <t>Local de Realização</t>
  </si>
  <si>
    <t>Tipo de Atendimento</t>
  </si>
  <si>
    <t>Turma</t>
  </si>
  <si>
    <t>Emissão</t>
  </si>
  <si>
    <t>Construir e proteger redes</t>
  </si>
  <si>
    <t>ESCOLA</t>
  </si>
  <si>
    <t>GOOGCLOUD.GR.AN2</t>
  </si>
  <si>
    <t>Curso:</t>
  </si>
  <si>
    <t>Executar tarefas de Dados, ML e IA</t>
  </si>
  <si>
    <t xml:space="preserve"> Implantação de Serviços em Nuvem - Google Cloud Foundations</t>
  </si>
  <si>
    <t>Docente:</t>
  </si>
  <si>
    <t>WELLINGTON FABIO DE OLIVEIRA MARTINS</t>
  </si>
  <si>
    <t>Início Previsto do Curso</t>
  </si>
  <si>
    <t>Dias da Semana e Horário</t>
  </si>
  <si>
    <t>Segunda-feira -13:00 Até 17:00</t>
  </si>
  <si>
    <t>Terça-feira -13:00 Até 17:00</t>
  </si>
  <si>
    <t>Término Previsto</t>
  </si>
  <si>
    <t>Quarta-feira -13:00 Até 17:00</t>
  </si>
  <si>
    <t>Quinta-feira -13:00 Até 17:00</t>
  </si>
  <si>
    <t>Horas (Previsto)</t>
  </si>
  <si>
    <t>Responsável na Escola</t>
  </si>
  <si>
    <t>Cliente</t>
  </si>
  <si>
    <t>Informação para Pagamento do Docente</t>
  </si>
  <si>
    <t>Período</t>
  </si>
  <si>
    <t>Total de Horas</t>
  </si>
  <si>
    <t>Valor Hora</t>
  </si>
  <si>
    <t>Representante da Escola</t>
  </si>
  <si>
    <t>___/___/___</t>
  </si>
  <si>
    <t>à</t>
  </si>
  <si>
    <t>Início Efetivo</t>
  </si>
  <si>
    <t>Término Efetivo</t>
  </si>
  <si>
    <t>Horas (Realizado)</t>
  </si>
  <si>
    <t>Nº de ordem</t>
  </si>
  <si>
    <t>Nome do Treinado</t>
  </si>
  <si>
    <t>Mês</t>
  </si>
  <si>
    <t>Agosto</t>
  </si>
  <si>
    <t>Setembro</t>
  </si>
  <si>
    <t>Faltas
(Horas)</t>
  </si>
  <si>
    <t>Nota</t>
  </si>
  <si>
    <t>Nº de Ordem</t>
  </si>
  <si>
    <t>Resultado Final</t>
  </si>
  <si>
    <t>% de Faltas do aluno</t>
  </si>
  <si>
    <t>Condição de Presença</t>
  </si>
  <si>
    <t>% DE AUSÊNCIA DA TURMA</t>
  </si>
  <si>
    <t>CARGA HORARIA TOTAL DO CURSO</t>
  </si>
  <si>
    <t>Dias</t>
  </si>
  <si>
    <t>Everaldo Elias Sampaio Junior</t>
  </si>
  <si>
    <t>.</t>
  </si>
  <si>
    <t>C</t>
  </si>
  <si>
    <t>Gabriela Costa de Lima</t>
  </si>
  <si>
    <t>|</t>
  </si>
  <si>
    <t>N</t>
  </si>
  <si>
    <t>Ana Laura Giungi Oliveira *31/08/2023</t>
  </si>
  <si>
    <t>Miguel Henrique di Sacco</t>
  </si>
  <si>
    <t>Regina El Hage Andia</t>
  </si>
  <si>
    <t>Pâmela Stefani Moura</t>
  </si>
  <si>
    <t>Victor Faccine Farias</t>
  </si>
  <si>
    <t>Poliana Clara Pedro Vieira dos Santos</t>
  </si>
  <si>
    <t>Henrique Albuquerque Berti</t>
  </si>
  <si>
    <t>Rafael Schwarz</t>
  </si>
  <si>
    <t>Matheus Henrique Gonçalves</t>
  </si>
  <si>
    <t>Letícia Abreu</t>
  </si>
  <si>
    <t>Douglas Miguel Pinas Ferreira</t>
  </si>
  <si>
    <t>Alan Henrique Nerio Filippini</t>
  </si>
  <si>
    <t>Francisca Mikaelly dos Santos Gonçalves</t>
  </si>
  <si>
    <t>Pedro Gabriel Leite Leme</t>
  </si>
  <si>
    <t>Heloisa Vitória Santana</t>
  </si>
  <si>
    <t>Vanessa Valle</t>
  </si>
  <si>
    <t>Julia Kauanne Pereira Ferreira</t>
  </si>
  <si>
    <t>Leticia Nobre Parrião</t>
  </si>
  <si>
    <t>Anny Evely Santos Souza</t>
  </si>
  <si>
    <r>
      <t xml:space="preserve">Representante do Cliente
</t>
    </r>
    <r>
      <rPr>
        <sz val="8"/>
        <rFont val="Arial"/>
        <family val="2"/>
      </rPr>
      <t>O curso foi realizado conforme apontado neste relatório.</t>
    </r>
  </si>
  <si>
    <t>Nome: __________________________________</t>
  </si>
  <si>
    <t>RG.:   __________________________________</t>
  </si>
  <si>
    <t>Assinatura do Responsável
da Empresa</t>
  </si>
  <si>
    <t>Assinatura do
Docente</t>
  </si>
  <si>
    <t>Assinatura do Responsável
da Escola</t>
  </si>
  <si>
    <t>* Aluno Evadido ** Aluno Dispensado *** Trancamento ****Aluno Transferido</t>
  </si>
  <si>
    <t>Resultado Final:               C = Certificado             N = Não Certificado              E = Evadido             T = Transferido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</si>
</sst>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"/>
  </numFmts>
  <fonts count="19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8"/>
      <name val="Tahoma"/>
      <family val="2"/>
    </font>
    <font>
      <sz val="9"/>
      <name val="Arial"/>
      <family val="2"/>
    </font>
    <font>
      <i/>
      <sz val="14"/>
      <name val="Comic Sans MS"/>
      <family val="4"/>
    </font>
    <font>
      <i/>
      <sz val="8"/>
      <name val="Comic Sans MS"/>
      <family val="4"/>
    </font>
    <font>
      <i/>
      <sz val="9"/>
      <name val="Arial"/>
      <family val="2"/>
    </font>
    <font>
      <sz val="5"/>
      <name val="Arial"/>
      <family val="2"/>
    </font>
    <font>
      <sz val="8"/>
      <color indexed="8"/>
      <name val="Arial"/>
      <family val="2"/>
    </font>
    <font>
      <sz val="6"/>
      <name val="Arial"/>
      <family val="2"/>
    </font>
    <font>
      <sz val="7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u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/>
      <diagonal/>
    </border>
    <border>
      <left/>
      <right/>
      <top/>
      <bottom style="thin">
        <color indexed="8"/>
      </bottom>
      <diagonal/>
    </border>
  </borders>
  <cellStyleXfs count="2">
    <xf numFmtId="0" fontId="0" fillId="0" borderId="0"/>
    <xf numFmtId="9" fontId="17" fillId="0" borderId="0" applyFill="0" applyBorder="0" applyAlignment="0" applyProtection="0"/>
  </cellStyleXfs>
  <cellXfs count="99">
    <xf numFmtId="0" fontId="0" fillId="0" borderId="0" xfId="0"/>
    <xf numFmtId="14" fontId="1" fillId="2" borderId="0" xfId="0" applyNumberFormat="1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top" wrapText="1"/>
    </xf>
    <xf numFmtId="14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top" wrapText="1"/>
    </xf>
    <xf numFmtId="0" fontId="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14" fontId="7" fillId="2" borderId="8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9" fontId="1" fillId="2" borderId="0" xfId="1" applyFont="1" applyFill="1" applyBorder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9" fontId="1" fillId="2" borderId="1" xfId="1" applyFont="1" applyFill="1" applyBorder="1" applyAlignment="1" applyProtection="1">
      <alignment horizontal="center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14" fontId="6" fillId="2" borderId="9" xfId="0" applyNumberFormat="1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/>
    </xf>
    <xf numFmtId="14" fontId="2" fillId="2" borderId="9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1" fillId="2" borderId="9" xfId="0" applyNumberFormat="1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" fillId="2" borderId="1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left" indent="1"/>
    </xf>
    <xf numFmtId="0" fontId="1" fillId="2" borderId="9" xfId="0" applyFont="1" applyFill="1" applyBorder="1" applyAlignment="1">
      <alignment horizontal="left" vertical="center" indent="1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/>
      <protection locked="0"/>
    </xf>
    <xf numFmtId="14" fontId="1" fillId="2" borderId="9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left"/>
    </xf>
    <xf numFmtId="0" fontId="2" fillId="2" borderId="17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" fillId="2" borderId="20" xfId="0" applyFont="1" applyFill="1" applyBorder="1" applyAlignment="1">
      <alignment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 wrapText="1"/>
    </xf>
    <xf numFmtId="0" fontId="1" fillId="2" borderId="20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left" vertical="top"/>
    </xf>
    <xf numFmtId="0" fontId="1" fillId="2" borderId="7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 wrapText="1"/>
    </xf>
    <xf numFmtId="9" fontId="1" fillId="2" borderId="1" xfId="1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/>
  </cellXfs>
  <cellStyles count="2">
    <cellStyle name="Normal" xfId="0" builtinId="0"/>
    <cellStyle name="Porcentagem" xfId="1" builtinId="5"/>
  </cellStyles>
  <dxfs count="2">
    <dxf>
      <fill>
        <patternFill patternType="solid">
          <fgColor indexed="60"/>
          <bgColor indexed="10"/>
        </patternFill>
      </fill>
    </dxf>
    <dxf>
      <fill>
        <patternFill patternType="solid">
          <fgColor indexed="21"/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1</xdr:row>
      <xdr:rowOff>9525</xdr:rowOff>
    </xdr:from>
    <xdr:to>
      <xdr:col>8</xdr:col>
      <xdr:colOff>219075</xdr:colOff>
      <xdr:row>1</xdr:row>
      <xdr:rowOff>333375</xdr:rowOff>
    </xdr:to>
    <xdr:pic>
      <xdr:nvPicPr>
        <xdr:cNvPr id="1032" name="Imagem 32">
          <a:extLst>
            <a:ext uri="{FF2B5EF4-FFF2-40B4-BE49-F238E27FC236}">
              <a16:creationId xmlns:a16="http://schemas.microsoft.com/office/drawing/2014/main" id="{84580ED8-9DDA-645B-7053-930169CED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152400"/>
          <a:ext cx="971550" cy="314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pageSetUpPr fitToPage="1"/>
  </sheetPr>
  <dimension ref="A2:AF44"/>
  <sheetViews>
    <sheetView zoomScale="90" zoomScaleNormal="90" workbookViewId="0">
      <selection activeCell="L18" sqref="L18:X18"/>
    </sheetView>
  </sheetViews>
  <sheetFormatPr defaultRowHeight="11.45" customHeight="1"/>
  <cols>
    <col min="1" max="1" width="11.28515625" style="1" customWidth="1"/>
    <col min="2" max="2" width="8.7109375" style="2" customWidth="1"/>
    <col min="3" max="3" width="53.85546875" style="3" customWidth="1"/>
    <col min="4" max="5" width="2.28515625" style="3" customWidth="1"/>
    <col min="6" max="10" width="3.7109375" style="3" customWidth="1"/>
    <col min="11" max="11" width="1.7109375" style="3" customWidth="1"/>
    <col min="12" max="12" width="3.7109375" style="3" customWidth="1"/>
    <col min="13" max="13" width="5.7109375" style="3" customWidth="1"/>
    <col min="14" max="14" width="2.7109375" style="3" customWidth="1"/>
    <col min="15" max="17" width="3.7109375" style="3" customWidth="1"/>
    <col min="18" max="19" width="2.7109375" style="3" customWidth="1"/>
    <col min="20" max="21" width="3.7109375" style="3" customWidth="1"/>
    <col min="22" max="22" width="8.7109375" style="3" customWidth="1"/>
    <col min="23" max="24" width="3.7109375" style="3" customWidth="1"/>
    <col min="25" max="25" width="2.7109375" style="3" customWidth="1"/>
    <col min="26" max="16384" width="9.140625" style="3"/>
  </cols>
  <sheetData>
    <row r="2" spans="1:32" s="6" customFormat="1" ht="26.1" customHeight="1">
      <c r="A2" s="4" t="s">
        <v>0</v>
      </c>
      <c r="B2" s="5" t="s">
        <v>1</v>
      </c>
      <c r="C2" s="5" t="s">
        <v>2</v>
      </c>
      <c r="D2" s="66"/>
      <c r="E2" s="67"/>
      <c r="K2" s="68" t="s">
        <v>3</v>
      </c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7"/>
      <c r="Y2" s="7"/>
    </row>
    <row r="3" spans="1:32" s="6" customFormat="1" ht="12.95" customHeight="1">
      <c r="A3" s="8"/>
      <c r="B3" s="9">
        <v>4</v>
      </c>
      <c r="C3" s="10" t="s">
        <v>4</v>
      </c>
      <c r="D3" s="66"/>
      <c r="E3" s="67"/>
      <c r="J3" s="11"/>
      <c r="L3" s="68" t="s">
        <v>5</v>
      </c>
      <c r="M3" s="68"/>
      <c r="N3" s="68"/>
      <c r="O3" s="68"/>
      <c r="P3" s="68"/>
      <c r="Q3" s="68"/>
      <c r="R3" s="68"/>
      <c r="S3" s="12"/>
      <c r="T3" s="12"/>
      <c r="U3" s="12"/>
      <c r="V3" s="12"/>
      <c r="W3" s="13"/>
      <c r="X3" s="11"/>
      <c r="Y3" s="11"/>
    </row>
    <row r="4" spans="1:32" s="6" customFormat="1" ht="12.95" customHeight="1">
      <c r="A4" s="8"/>
      <c r="B4" s="9">
        <v>4</v>
      </c>
      <c r="C4" s="14" t="s">
        <v>6</v>
      </c>
      <c r="D4" s="66"/>
      <c r="E4" s="67"/>
      <c r="F4" s="69" t="s">
        <v>7</v>
      </c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</row>
    <row r="5" spans="1:32" s="6" customFormat="1" ht="12.95" customHeight="1">
      <c r="A5" s="8"/>
      <c r="B5" s="9">
        <v>4</v>
      </c>
      <c r="C5" s="14" t="s">
        <v>6</v>
      </c>
      <c r="D5" s="66"/>
      <c r="E5" s="67"/>
      <c r="F5" s="69" t="s">
        <v>8</v>
      </c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</row>
    <row r="6" spans="1:32" s="6" customFormat="1" ht="12.95" customHeight="1">
      <c r="A6" s="8"/>
      <c r="B6" s="9">
        <v>4</v>
      </c>
      <c r="C6" s="14" t="s">
        <v>9</v>
      </c>
      <c r="D6" s="66"/>
      <c r="E6" s="67"/>
      <c r="F6" s="98" t="s">
        <v>10</v>
      </c>
      <c r="G6" s="98"/>
      <c r="H6" s="98"/>
      <c r="I6" s="98"/>
      <c r="J6" s="98" t="s">
        <v>11</v>
      </c>
      <c r="K6" s="98"/>
      <c r="L6" s="98"/>
      <c r="M6" s="98"/>
      <c r="N6" s="60" t="s">
        <v>12</v>
      </c>
      <c r="O6" s="60"/>
      <c r="P6" s="60"/>
      <c r="Q6" s="60"/>
      <c r="R6" s="60"/>
      <c r="S6" s="98" t="s">
        <v>13</v>
      </c>
      <c r="T6" s="98"/>
      <c r="U6" s="98"/>
      <c r="V6" s="98"/>
      <c r="W6" s="98" t="s">
        <v>14</v>
      </c>
      <c r="X6" s="98"/>
      <c r="Y6" s="98"/>
    </row>
    <row r="7" spans="1:32" s="6" customFormat="1" ht="12.95" customHeight="1">
      <c r="A7" s="8"/>
      <c r="B7" s="9">
        <v>4</v>
      </c>
      <c r="C7" s="14" t="s">
        <v>15</v>
      </c>
      <c r="D7" s="66"/>
      <c r="E7" s="67"/>
      <c r="F7" s="70"/>
      <c r="G7" s="70"/>
      <c r="H7" s="70"/>
      <c r="I7" s="70"/>
      <c r="J7" s="53" t="s">
        <v>16</v>
      </c>
      <c r="K7" s="53"/>
      <c r="L7" s="53"/>
      <c r="M7" s="53"/>
      <c r="N7" s="71" t="s">
        <v>16</v>
      </c>
      <c r="O7" s="71"/>
      <c r="P7" s="71"/>
      <c r="Q7" s="71"/>
      <c r="R7" s="71"/>
      <c r="S7" s="72" t="s">
        <v>17</v>
      </c>
      <c r="T7" s="72"/>
      <c r="U7" s="72"/>
      <c r="V7" s="72"/>
      <c r="W7" s="73">
        <v>45169</v>
      </c>
      <c r="X7" s="73"/>
      <c r="Y7" s="73"/>
      <c r="AC7" s="3"/>
      <c r="AD7" s="3"/>
      <c r="AE7" s="3"/>
      <c r="AF7" s="3"/>
    </row>
    <row r="8" spans="1:32" s="6" customFormat="1" ht="12.95" customHeight="1">
      <c r="A8" s="8"/>
      <c r="B8" s="9">
        <v>4</v>
      </c>
      <c r="C8" s="14" t="s">
        <v>15</v>
      </c>
      <c r="D8" s="66"/>
      <c r="E8" s="67"/>
      <c r="F8" s="63"/>
      <c r="G8" s="63"/>
      <c r="H8" s="63"/>
      <c r="I8" s="63"/>
      <c r="J8" s="53"/>
      <c r="K8" s="53"/>
      <c r="L8" s="53"/>
      <c r="M8" s="53"/>
      <c r="N8" s="71"/>
      <c r="O8" s="71"/>
      <c r="P8" s="71"/>
      <c r="Q8" s="71"/>
      <c r="R8" s="71"/>
      <c r="S8" s="72"/>
      <c r="T8" s="72"/>
      <c r="U8" s="72"/>
      <c r="V8" s="72"/>
      <c r="W8" s="73"/>
      <c r="X8" s="73"/>
      <c r="Y8" s="73"/>
      <c r="AC8" s="3"/>
      <c r="AD8" s="3"/>
      <c r="AE8" s="3"/>
      <c r="AF8" s="3"/>
    </row>
    <row r="9" spans="1:32" s="6" customFormat="1" ht="12.95" customHeight="1">
      <c r="A9" s="8"/>
      <c r="B9" s="9">
        <v>4</v>
      </c>
      <c r="C9" s="14" t="s">
        <v>15</v>
      </c>
      <c r="D9" s="66"/>
      <c r="E9" s="67"/>
      <c r="F9" s="64" t="s">
        <v>18</v>
      </c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AC9" s="3"/>
      <c r="AD9" s="3"/>
      <c r="AE9" s="3"/>
      <c r="AF9" s="3"/>
    </row>
    <row r="10" spans="1:32" s="6" customFormat="1" ht="12.95" customHeight="1">
      <c r="A10" s="8"/>
      <c r="B10" s="9">
        <v>4</v>
      </c>
      <c r="C10" s="14" t="s">
        <v>19</v>
      </c>
      <c r="D10" s="66"/>
      <c r="E10" s="67"/>
      <c r="F10" s="65" t="s">
        <v>20</v>
      </c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AC10" s="3"/>
      <c r="AD10" s="3"/>
      <c r="AE10" s="3"/>
      <c r="AF10" s="3"/>
    </row>
    <row r="11" spans="1:32" s="6" customFormat="1" ht="12.95" customHeight="1">
      <c r="A11" s="8"/>
      <c r="B11" s="9">
        <v>4</v>
      </c>
      <c r="C11" s="14" t="s">
        <v>19</v>
      </c>
      <c r="D11" s="66"/>
      <c r="E11" s="67"/>
      <c r="F11" s="64" t="s">
        <v>21</v>
      </c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</row>
    <row r="12" spans="1:32" s="6" customFormat="1" ht="12.95" customHeight="1">
      <c r="A12" s="8"/>
      <c r="B12" s="9">
        <v>4</v>
      </c>
      <c r="C12" s="14" t="s">
        <v>19</v>
      </c>
      <c r="D12" s="66"/>
      <c r="E12" s="67"/>
      <c r="F12" s="65" t="s">
        <v>22</v>
      </c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</row>
    <row r="13" spans="1:32" s="6" customFormat="1" ht="12.95" customHeight="1">
      <c r="A13" s="8"/>
      <c r="B13" s="15"/>
      <c r="C13" s="16"/>
      <c r="D13" s="66"/>
      <c r="E13" s="67"/>
      <c r="F13" s="60" t="s">
        <v>23</v>
      </c>
      <c r="G13" s="60"/>
      <c r="H13" s="60"/>
      <c r="I13" s="60"/>
      <c r="J13" s="60"/>
      <c r="K13" s="60"/>
      <c r="L13" s="17" t="s">
        <v>24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8"/>
    </row>
    <row r="14" spans="1:32" s="6" customFormat="1" ht="12.95" customHeight="1">
      <c r="A14" s="9"/>
      <c r="B14" s="9"/>
      <c r="C14" s="16"/>
      <c r="D14" s="66"/>
      <c r="E14" s="67"/>
      <c r="F14" s="57">
        <v>45167</v>
      </c>
      <c r="G14" s="57"/>
      <c r="H14" s="57"/>
      <c r="I14" s="57"/>
      <c r="J14" s="57"/>
      <c r="K14" s="57"/>
      <c r="L14" s="62" t="s">
        <v>25</v>
      </c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</row>
    <row r="15" spans="1:32" s="6" customFormat="1" ht="12.95" customHeight="1">
      <c r="A15" s="8"/>
      <c r="B15" s="15"/>
      <c r="C15" s="16"/>
      <c r="D15" s="66"/>
      <c r="E15" s="67"/>
      <c r="F15" s="57"/>
      <c r="G15" s="57"/>
      <c r="H15" s="57"/>
      <c r="I15" s="57"/>
      <c r="J15" s="57"/>
      <c r="K15" s="57"/>
      <c r="L15" s="62" t="s">
        <v>26</v>
      </c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</row>
    <row r="16" spans="1:32" s="6" customFormat="1" ht="12.95" customHeight="1">
      <c r="A16" s="8"/>
      <c r="B16" s="15"/>
      <c r="C16" s="16"/>
      <c r="D16" s="66"/>
      <c r="E16" s="67"/>
      <c r="F16" s="60" t="s">
        <v>27</v>
      </c>
      <c r="G16" s="60"/>
      <c r="H16" s="60"/>
      <c r="I16" s="60"/>
      <c r="J16" s="60"/>
      <c r="K16" s="60"/>
      <c r="L16" s="58" t="s">
        <v>28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19"/>
    </row>
    <row r="17" spans="1:25" s="6" customFormat="1" ht="12.95" customHeight="1">
      <c r="A17" s="9"/>
      <c r="B17" s="15"/>
      <c r="C17" s="16"/>
      <c r="D17" s="66"/>
      <c r="E17" s="67"/>
      <c r="F17" s="57">
        <v>45187</v>
      </c>
      <c r="G17" s="57"/>
      <c r="H17" s="57"/>
      <c r="I17" s="57"/>
      <c r="J17" s="57"/>
      <c r="K17" s="57"/>
      <c r="L17" s="58" t="s">
        <v>29</v>
      </c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19"/>
    </row>
    <row r="18" spans="1:25" s="6" customFormat="1" ht="12.95" customHeight="1">
      <c r="A18" s="8"/>
      <c r="B18" s="9"/>
      <c r="C18" s="16"/>
      <c r="D18" s="66"/>
      <c r="E18" s="67"/>
      <c r="F18" s="57"/>
      <c r="G18" s="57"/>
      <c r="H18" s="57"/>
      <c r="I18" s="57"/>
      <c r="J18" s="57"/>
      <c r="K18" s="57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19"/>
    </row>
    <row r="19" spans="1:25" s="6" customFormat="1" ht="12.95" customHeight="1">
      <c r="A19" s="9"/>
      <c r="B19" s="9"/>
      <c r="C19" s="16"/>
      <c r="D19" s="66"/>
      <c r="E19" s="67"/>
      <c r="F19" s="60" t="s">
        <v>30</v>
      </c>
      <c r="G19" s="60"/>
      <c r="H19" s="60"/>
      <c r="I19" s="60"/>
      <c r="J19" s="60"/>
      <c r="K19" s="60"/>
      <c r="L19" s="61" t="s">
        <v>31</v>
      </c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</row>
    <row r="20" spans="1:25" s="6" customFormat="1" ht="12.95" customHeight="1">
      <c r="A20" s="8"/>
      <c r="B20" s="9"/>
      <c r="C20" s="16"/>
      <c r="D20" s="66"/>
      <c r="E20" s="67"/>
      <c r="F20" s="53">
        <v>40</v>
      </c>
      <c r="G20" s="53"/>
      <c r="H20" s="53"/>
      <c r="I20" s="53"/>
      <c r="J20" s="53"/>
      <c r="K20" s="5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</row>
    <row r="21" spans="1:25" s="6" customFormat="1" ht="12.95" customHeight="1">
      <c r="A21" s="8"/>
      <c r="B21" s="9"/>
      <c r="C21" s="16"/>
      <c r="D21" s="66"/>
      <c r="E21" s="67"/>
      <c r="F21" s="55" t="s">
        <v>32</v>
      </c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</row>
    <row r="22" spans="1:25" s="6" customFormat="1" ht="12.95" customHeight="1">
      <c r="A22" s="8"/>
      <c r="B22" s="9"/>
      <c r="C22" s="16"/>
      <c r="D22" s="66"/>
      <c r="E22" s="6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25" s="6" customFormat="1" ht="12.95" customHeight="1">
      <c r="A23" s="8"/>
      <c r="B23" s="9"/>
      <c r="C23" s="16"/>
      <c r="D23" s="66"/>
      <c r="E23" s="6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25" s="6" customFormat="1" ht="12.95" customHeight="1">
      <c r="A24" s="8"/>
      <c r="B24" s="9"/>
      <c r="C24" s="16"/>
      <c r="D24" s="66"/>
      <c r="E24" s="6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spans="1:25" s="6" customFormat="1" ht="12.95" customHeight="1">
      <c r="A25" s="8"/>
      <c r="B25" s="9"/>
      <c r="C25" s="16"/>
      <c r="D25" s="66"/>
      <c r="E25" s="6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</row>
    <row r="26" spans="1:25" s="6" customFormat="1" ht="12.95" customHeight="1">
      <c r="A26" s="8"/>
      <c r="B26" s="9"/>
      <c r="C26" s="16"/>
      <c r="D26" s="66"/>
      <c r="E26" s="6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</row>
    <row r="27" spans="1:25" s="6" customFormat="1" ht="12.95" customHeight="1">
      <c r="A27" s="9"/>
      <c r="B27" s="9"/>
      <c r="C27" s="16"/>
      <c r="D27" s="66"/>
      <c r="E27" s="6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</row>
    <row r="28" spans="1:25" s="6" customFormat="1" ht="12.95" customHeight="1">
      <c r="A28" s="8"/>
      <c r="B28" s="9"/>
      <c r="C28" s="16"/>
      <c r="D28" s="66"/>
      <c r="E28" s="67"/>
      <c r="F28" s="56" t="s">
        <v>33</v>
      </c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</row>
    <row r="29" spans="1:25" s="6" customFormat="1" ht="12.95" customHeight="1">
      <c r="A29" s="8"/>
      <c r="B29" s="9"/>
      <c r="C29" s="16"/>
      <c r="D29" s="66"/>
      <c r="E29" s="67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</row>
    <row r="30" spans="1:25" s="6" customFormat="1" ht="12.95" customHeight="1">
      <c r="A30" s="9"/>
      <c r="B30" s="9"/>
      <c r="C30" s="16"/>
      <c r="D30" s="66"/>
      <c r="E30" s="67"/>
      <c r="F30" s="47" t="s">
        <v>34</v>
      </c>
      <c r="G30" s="47"/>
      <c r="H30" s="47"/>
      <c r="I30" s="47"/>
      <c r="J30" s="47"/>
      <c r="K30" s="47"/>
      <c r="L30" s="47"/>
      <c r="M30" s="47" t="s">
        <v>35</v>
      </c>
      <c r="N30" s="47"/>
      <c r="O30" s="47"/>
      <c r="P30" s="47"/>
      <c r="Q30" s="47" t="s">
        <v>36</v>
      </c>
      <c r="R30" s="47"/>
      <c r="S30" s="47"/>
      <c r="T30" s="47"/>
      <c r="U30" s="47" t="s">
        <v>37</v>
      </c>
      <c r="V30" s="47"/>
      <c r="W30" s="47"/>
      <c r="X30" s="47"/>
      <c r="Y30" s="47"/>
    </row>
    <row r="31" spans="1:25" s="6" customFormat="1" ht="12.95" customHeight="1">
      <c r="A31" s="8"/>
      <c r="B31" s="9"/>
      <c r="C31" s="16"/>
      <c r="D31" s="66"/>
      <c r="E31" s="6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</row>
    <row r="32" spans="1:25" s="6" customFormat="1" ht="12.95" customHeight="1">
      <c r="A32" s="8"/>
      <c r="B32" s="9"/>
      <c r="C32" s="16"/>
      <c r="D32" s="66"/>
      <c r="E32" s="67"/>
      <c r="F32" s="52" t="s">
        <v>38</v>
      </c>
      <c r="G32" s="52"/>
      <c r="H32" s="52"/>
      <c r="I32" s="49" t="s">
        <v>39</v>
      </c>
      <c r="J32" s="50" t="s">
        <v>38</v>
      </c>
      <c r="K32" s="50"/>
      <c r="L32" s="50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</row>
    <row r="33" spans="1:25" s="6" customFormat="1" ht="12.95" customHeight="1">
      <c r="A33" s="8"/>
      <c r="B33" s="9"/>
      <c r="C33" s="16"/>
      <c r="D33" s="66"/>
      <c r="E33" s="67"/>
      <c r="F33" s="52"/>
      <c r="G33" s="52"/>
      <c r="H33" s="52"/>
      <c r="I33" s="49"/>
      <c r="J33" s="49"/>
      <c r="K33" s="50"/>
      <c r="L33" s="50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</row>
    <row r="34" spans="1:25" s="6" customFormat="1" ht="12.95" customHeight="1">
      <c r="A34" s="8"/>
      <c r="B34" s="9"/>
      <c r="C34" s="16"/>
      <c r="D34" s="66"/>
      <c r="E34" s="67"/>
      <c r="F34" s="51" t="s">
        <v>38</v>
      </c>
      <c r="G34" s="51"/>
      <c r="H34" s="51"/>
      <c r="I34" s="49" t="s">
        <v>39</v>
      </c>
      <c r="J34" s="50" t="s">
        <v>38</v>
      </c>
      <c r="K34" s="50"/>
      <c r="L34" s="50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</row>
    <row r="35" spans="1:25" s="6" customFormat="1" ht="12.95" customHeight="1">
      <c r="A35" s="8"/>
      <c r="B35" s="9"/>
      <c r="C35" s="16"/>
      <c r="D35" s="66"/>
      <c r="E35" s="67"/>
      <c r="F35" s="51"/>
      <c r="G35" s="51"/>
      <c r="H35" s="51"/>
      <c r="I35" s="49"/>
      <c r="J35" s="49"/>
      <c r="K35" s="50"/>
      <c r="L35" s="50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</row>
    <row r="36" spans="1:25" s="6" customFormat="1" ht="12.95" customHeight="1">
      <c r="A36" s="9"/>
      <c r="B36" s="9"/>
      <c r="C36" s="16"/>
      <c r="D36" s="66"/>
      <c r="E36" s="67"/>
      <c r="F36" s="48" t="s">
        <v>38</v>
      </c>
      <c r="G36" s="48"/>
      <c r="H36" s="48"/>
      <c r="I36" s="49" t="s">
        <v>39</v>
      </c>
      <c r="J36" s="50" t="s">
        <v>38</v>
      </c>
      <c r="K36" s="50"/>
      <c r="L36" s="50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</row>
    <row r="37" spans="1:25" s="6" customFormat="1" ht="12.95" customHeight="1">
      <c r="A37" s="8"/>
      <c r="B37" s="9"/>
      <c r="C37" s="16"/>
      <c r="D37" s="66"/>
      <c r="E37" s="67"/>
      <c r="F37" s="48"/>
      <c r="G37" s="48"/>
      <c r="H37" s="48"/>
      <c r="I37" s="49"/>
      <c r="J37" s="49"/>
      <c r="K37" s="50"/>
      <c r="L37" s="50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</row>
    <row r="38" spans="1:25" s="6" customFormat="1" ht="12.95" customHeight="1">
      <c r="A38" s="9"/>
      <c r="B38" s="9"/>
      <c r="C38" s="16"/>
      <c r="D38" s="66"/>
      <c r="E38" s="67"/>
      <c r="F38" s="48" t="s">
        <v>38</v>
      </c>
      <c r="G38" s="48"/>
      <c r="H38" s="48"/>
      <c r="I38" s="49" t="s">
        <v>39</v>
      </c>
      <c r="J38" s="50" t="s">
        <v>38</v>
      </c>
      <c r="K38" s="50"/>
      <c r="L38" s="50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</row>
    <row r="39" spans="1:25" s="6" customFormat="1" ht="12.95" customHeight="1">
      <c r="A39" s="8"/>
      <c r="B39" s="9"/>
      <c r="C39" s="16"/>
      <c r="D39" s="66"/>
      <c r="E39" s="67"/>
      <c r="F39" s="48"/>
      <c r="G39" s="48"/>
      <c r="H39" s="48"/>
      <c r="I39" s="49"/>
      <c r="J39" s="49"/>
      <c r="K39" s="50"/>
      <c r="L39" s="50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</row>
    <row r="40" spans="1:25" s="6" customFormat="1" ht="12.95" customHeight="1">
      <c r="A40" s="8"/>
      <c r="B40" s="9"/>
      <c r="C40" s="16"/>
      <c r="D40" s="66"/>
      <c r="E40" s="67"/>
      <c r="F40" s="48" t="s">
        <v>38</v>
      </c>
      <c r="G40" s="48"/>
      <c r="H40" s="48"/>
      <c r="I40" s="49" t="s">
        <v>39</v>
      </c>
      <c r="J40" s="50" t="s">
        <v>38</v>
      </c>
      <c r="K40" s="50"/>
      <c r="L40" s="50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</row>
    <row r="41" spans="1:25" s="6" customFormat="1" ht="12.95" customHeight="1">
      <c r="A41" s="8"/>
      <c r="B41" s="9"/>
      <c r="C41" s="16"/>
      <c r="D41" s="66"/>
      <c r="E41" s="67"/>
      <c r="F41" s="48"/>
      <c r="G41" s="48"/>
      <c r="H41" s="48"/>
      <c r="I41" s="49"/>
      <c r="J41" s="49"/>
      <c r="K41" s="50"/>
      <c r="L41" s="50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</row>
    <row r="42" spans="1:25" s="6" customFormat="1" ht="12.95" customHeight="1">
      <c r="A42" s="8"/>
      <c r="B42" s="9"/>
      <c r="C42" s="16"/>
      <c r="D42" s="66"/>
      <c r="E42" s="67"/>
      <c r="F42" s="44" t="s">
        <v>40</v>
      </c>
      <c r="G42" s="44"/>
      <c r="H42" s="44"/>
      <c r="I42" s="44"/>
      <c r="J42" s="44"/>
      <c r="K42" s="44"/>
      <c r="L42" s="44"/>
      <c r="M42" s="44" t="s">
        <v>41</v>
      </c>
      <c r="N42" s="44"/>
      <c r="O42" s="44"/>
      <c r="P42" s="44"/>
      <c r="Q42" s="44"/>
      <c r="R42" s="44"/>
      <c r="S42" s="44"/>
      <c r="T42" s="44"/>
      <c r="U42" s="44" t="s">
        <v>42</v>
      </c>
      <c r="V42" s="44"/>
      <c r="W42" s="44"/>
      <c r="X42" s="44"/>
      <c r="Y42" s="44"/>
    </row>
    <row r="43" spans="1:25" s="6" customFormat="1" ht="12.95" customHeight="1">
      <c r="A43" s="8"/>
      <c r="B43" s="9"/>
      <c r="C43" s="16"/>
      <c r="D43" s="66"/>
      <c r="E43" s="67"/>
      <c r="F43" s="45">
        <v>45080</v>
      </c>
      <c r="G43" s="45"/>
      <c r="H43" s="45"/>
      <c r="I43" s="45"/>
      <c r="J43" s="45"/>
      <c r="K43" s="45"/>
      <c r="L43" s="45"/>
      <c r="M43" s="45">
        <v>45164</v>
      </c>
      <c r="N43" s="45"/>
      <c r="O43" s="45"/>
      <c r="P43" s="45"/>
      <c r="Q43" s="45"/>
      <c r="R43" s="45"/>
      <c r="S43" s="45"/>
      <c r="T43" s="45"/>
      <c r="U43" s="46">
        <v>40</v>
      </c>
      <c r="V43" s="46"/>
      <c r="W43" s="46"/>
      <c r="X43" s="46"/>
      <c r="Y43" s="46"/>
    </row>
    <row r="44" spans="1:25" s="6" customFormat="1" ht="12.95" customHeight="1">
      <c r="A44" s="22"/>
      <c r="B44" s="23"/>
      <c r="C44" s="24"/>
      <c r="D44" s="66"/>
      <c r="E44" s="67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6"/>
      <c r="V44" s="46"/>
      <c r="W44" s="46"/>
      <c r="X44" s="46"/>
      <c r="Y44" s="46"/>
    </row>
  </sheetData>
  <sheetProtection selectLockedCells="1" selectUnlockedCells="1"/>
  <mergeCells count="77">
    <mergeCell ref="D2:D44"/>
    <mergeCell ref="E2:E44"/>
    <mergeCell ref="K2:W2"/>
    <mergeCell ref="L3:R3"/>
    <mergeCell ref="F4:Y4"/>
    <mergeCell ref="F5:Y5"/>
    <mergeCell ref="F6:I6"/>
    <mergeCell ref="J6:M6"/>
    <mergeCell ref="N6:R6"/>
    <mergeCell ref="S6:V6"/>
    <mergeCell ref="W6:Y6"/>
    <mergeCell ref="F7:I7"/>
    <mergeCell ref="J7:M8"/>
    <mergeCell ref="N7:R8"/>
    <mergeCell ref="S7:V8"/>
    <mergeCell ref="W7:Y8"/>
    <mergeCell ref="F8:I8"/>
    <mergeCell ref="F9:Y9"/>
    <mergeCell ref="F10:Y10"/>
    <mergeCell ref="F11:Y11"/>
    <mergeCell ref="F12:Y12"/>
    <mergeCell ref="F13:K13"/>
    <mergeCell ref="F14:K15"/>
    <mergeCell ref="L14:Y14"/>
    <mergeCell ref="L15:Y15"/>
    <mergeCell ref="F16:K16"/>
    <mergeCell ref="L16:X16"/>
    <mergeCell ref="F17:K18"/>
    <mergeCell ref="L17:X17"/>
    <mergeCell ref="L18:X18"/>
    <mergeCell ref="F19:K19"/>
    <mergeCell ref="L19:Y19"/>
    <mergeCell ref="F20:K20"/>
    <mergeCell ref="L20:Y20"/>
    <mergeCell ref="F21:Y21"/>
    <mergeCell ref="F22:Y27"/>
    <mergeCell ref="F28:Y29"/>
    <mergeCell ref="F30:L31"/>
    <mergeCell ref="M30:P31"/>
    <mergeCell ref="Q30:T31"/>
    <mergeCell ref="U30:Y31"/>
    <mergeCell ref="F32:H33"/>
    <mergeCell ref="I32:I33"/>
    <mergeCell ref="J32:L33"/>
    <mergeCell ref="M32:P33"/>
    <mergeCell ref="Q32:T33"/>
    <mergeCell ref="U32:Y33"/>
    <mergeCell ref="U34:Y35"/>
    <mergeCell ref="F36:H37"/>
    <mergeCell ref="I36:I37"/>
    <mergeCell ref="J36:L37"/>
    <mergeCell ref="M36:P37"/>
    <mergeCell ref="Q36:T37"/>
    <mergeCell ref="U36:Y37"/>
    <mergeCell ref="F34:H35"/>
    <mergeCell ref="I34:I35"/>
    <mergeCell ref="J34:L35"/>
    <mergeCell ref="M34:P35"/>
    <mergeCell ref="Q34:T35"/>
    <mergeCell ref="U38:Y39"/>
    <mergeCell ref="F40:H41"/>
    <mergeCell ref="I40:I41"/>
    <mergeCell ref="J40:L41"/>
    <mergeCell ref="M40:P41"/>
    <mergeCell ref="Q40:T41"/>
    <mergeCell ref="U40:Y41"/>
    <mergeCell ref="F38:H39"/>
    <mergeCell ref="I38:I39"/>
    <mergeCell ref="J38:L39"/>
    <mergeCell ref="M38:P39"/>
    <mergeCell ref="Q38:T39"/>
    <mergeCell ref="F42:L42"/>
    <mergeCell ref="M42:T42"/>
    <mergeCell ref="U42:Y42"/>
    <mergeCell ref="F43:L44"/>
    <mergeCell ref="M43:T44"/>
    <mergeCell ref="U43:Y44"/>
  </mergeCells>
  <printOptions horizontalCentered="1"/>
  <pageMargins left="0.2361111111111111" right="0.2361111111111111" top="0.74791666666666667" bottom="0.74791666666666667" header="0.51180555555555551" footer="0.51180555555555551"/>
  <pageSetup paperSize="9"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pageSetUpPr fitToPage="1"/>
  </sheetPr>
  <dimension ref="A2:BC43"/>
  <sheetViews>
    <sheetView tabSelected="1" workbookViewId="0">
      <selection activeCell="B24" sqref="B24"/>
    </sheetView>
  </sheetViews>
  <sheetFormatPr defaultRowHeight="12.95" customHeight="1"/>
  <cols>
    <col min="1" max="1" width="4.7109375" style="3" customWidth="1"/>
    <col min="2" max="2" width="29.7109375" style="3" customWidth="1"/>
    <col min="3" max="3" width="4.7109375" style="3" customWidth="1"/>
    <col min="4" max="43" width="2.140625" style="3" customWidth="1"/>
    <col min="44" max="44" width="5.7109375" style="3" customWidth="1"/>
    <col min="45" max="45" width="4.7109375" style="3" customWidth="1"/>
    <col min="46" max="46" width="5.7109375" style="3" customWidth="1"/>
    <col min="47" max="47" width="6.7109375" style="3" customWidth="1"/>
    <col min="48" max="48" width="3.28515625" style="3" customWidth="1"/>
    <col min="49" max="49" width="14.7109375" style="25" customWidth="1"/>
    <col min="50" max="50" width="13.42578125" style="26" customWidth="1"/>
    <col min="51" max="51" width="2.5703125" style="3" customWidth="1"/>
    <col min="52" max="52" width="3" style="3" customWidth="1"/>
    <col min="53" max="53" width="13.140625" style="3" customWidth="1"/>
    <col min="54" max="54" width="3" style="3" customWidth="1"/>
    <col min="55" max="55" width="16.28515625" style="3" customWidth="1"/>
    <col min="56" max="72" width="5.7109375" style="3" customWidth="1"/>
    <col min="73" max="16384" width="9.140625" style="3"/>
  </cols>
  <sheetData>
    <row r="2" spans="1:55" ht="12.95" customHeight="1">
      <c r="A2" s="89" t="s">
        <v>43</v>
      </c>
      <c r="B2" s="90" t="s">
        <v>44</v>
      </c>
      <c r="C2" s="21" t="s">
        <v>45</v>
      </c>
      <c r="D2" s="91" t="s">
        <v>46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 t="s">
        <v>47</v>
      </c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3"/>
      <c r="AR2" s="86" t="s">
        <v>48</v>
      </c>
      <c r="AS2" s="85" t="s">
        <v>49</v>
      </c>
      <c r="AT2" s="85" t="s">
        <v>50</v>
      </c>
      <c r="AU2" s="85" t="s">
        <v>51</v>
      </c>
      <c r="AW2" s="87" t="s">
        <v>52</v>
      </c>
      <c r="AX2" s="88" t="s">
        <v>53</v>
      </c>
      <c r="BA2" s="88" t="s">
        <v>54</v>
      </c>
      <c r="BC2" s="88" t="s">
        <v>55</v>
      </c>
    </row>
    <row r="3" spans="1:55" ht="12.95" customHeight="1">
      <c r="A3" s="89"/>
      <c r="B3" s="90"/>
      <c r="C3" s="20" t="s">
        <v>56</v>
      </c>
      <c r="D3" s="27">
        <v>29</v>
      </c>
      <c r="E3" s="27">
        <v>29</v>
      </c>
      <c r="F3" s="27">
        <v>29</v>
      </c>
      <c r="G3" s="27">
        <v>29</v>
      </c>
      <c r="H3" s="27">
        <v>30</v>
      </c>
      <c r="I3" s="27">
        <v>30</v>
      </c>
      <c r="J3" s="27">
        <v>30</v>
      </c>
      <c r="K3" s="27">
        <v>30</v>
      </c>
      <c r="L3" s="27">
        <v>31</v>
      </c>
      <c r="M3" s="27">
        <v>31</v>
      </c>
      <c r="N3" s="27">
        <v>31</v>
      </c>
      <c r="O3" s="27">
        <v>31</v>
      </c>
      <c r="P3" s="27">
        <v>4</v>
      </c>
      <c r="Q3" s="27">
        <v>4</v>
      </c>
      <c r="R3" s="27">
        <v>4</v>
      </c>
      <c r="S3" s="27">
        <v>4</v>
      </c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86"/>
      <c r="AS3" s="86"/>
      <c r="AT3" s="86"/>
      <c r="AU3" s="86"/>
      <c r="AW3" s="87"/>
      <c r="AX3" s="88"/>
      <c r="BA3" s="88"/>
      <c r="BC3" s="88"/>
    </row>
    <row r="4" spans="1:55" ht="12.95" customHeight="1">
      <c r="A4" s="28">
        <v>1</v>
      </c>
      <c r="B4" s="83" t="s">
        <v>57</v>
      </c>
      <c r="C4" s="84"/>
      <c r="D4" s="29" t="s">
        <v>58</v>
      </c>
      <c r="E4" s="29" t="s">
        <v>58</v>
      </c>
      <c r="F4" s="29" t="s">
        <v>58</v>
      </c>
      <c r="G4" s="29" t="s">
        <v>58</v>
      </c>
      <c r="H4" s="29" t="s">
        <v>58</v>
      </c>
      <c r="I4" s="29" t="s">
        <v>58</v>
      </c>
      <c r="J4" s="29" t="s">
        <v>58</v>
      </c>
      <c r="K4" s="29" t="s">
        <v>58</v>
      </c>
      <c r="L4" s="29" t="s">
        <v>58</v>
      </c>
      <c r="M4" s="29" t="s">
        <v>58</v>
      </c>
      <c r="N4" s="29" t="s">
        <v>58</v>
      </c>
      <c r="O4" s="29" t="s">
        <v>58</v>
      </c>
      <c r="P4" s="29" t="s">
        <v>58</v>
      </c>
      <c r="Q4" s="29" t="s">
        <v>58</v>
      </c>
      <c r="R4" s="29" t="s">
        <v>58</v>
      </c>
      <c r="S4" s="29" t="s">
        <v>58</v>
      </c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30">
        <f t="shared" ref="AR4:AR34" si="0">COUNTIF(D4:AQ4,"|")</f>
        <v>0</v>
      </c>
      <c r="AS4" s="31"/>
      <c r="AT4" s="28">
        <v>1</v>
      </c>
      <c r="AU4" s="32" t="s">
        <v>59</v>
      </c>
      <c r="AW4" s="33">
        <f t="shared" ref="AW4:AW34" si="1">AR4*100/$BC$4/100</f>
        <v>0</v>
      </c>
      <c r="AX4" s="20" t="str">
        <f t="shared" ref="AX4:AX13" si="2">IF(AW4&gt;0.25,"ESTOURADO","NORMAL ")</f>
        <v xml:space="preserve">NORMAL </v>
      </c>
      <c r="BA4" s="34">
        <f>AVERAGE(AW4:AW34)</f>
        <v>2.4193548387096777E-2</v>
      </c>
      <c r="BC4" s="20">
        <v>40</v>
      </c>
    </row>
    <row r="5" spans="1:55" ht="12.95" customHeight="1">
      <c r="A5" s="28">
        <v>2</v>
      </c>
      <c r="B5" s="83" t="s">
        <v>60</v>
      </c>
      <c r="C5" s="84"/>
      <c r="D5" s="29" t="s">
        <v>58</v>
      </c>
      <c r="E5" s="29" t="s">
        <v>58</v>
      </c>
      <c r="F5" s="29" t="s">
        <v>58</v>
      </c>
      <c r="G5" s="29" t="s">
        <v>58</v>
      </c>
      <c r="H5" s="29" t="s">
        <v>61</v>
      </c>
      <c r="I5" s="29" t="s">
        <v>61</v>
      </c>
      <c r="J5" s="29" t="s">
        <v>61</v>
      </c>
      <c r="K5" s="29" t="s">
        <v>61</v>
      </c>
      <c r="L5" s="29" t="s">
        <v>61</v>
      </c>
      <c r="M5" s="29" t="s">
        <v>61</v>
      </c>
      <c r="N5" s="29" t="s">
        <v>61</v>
      </c>
      <c r="O5" s="29" t="s">
        <v>61</v>
      </c>
      <c r="P5" s="29" t="s">
        <v>58</v>
      </c>
      <c r="Q5" s="29" t="s">
        <v>58</v>
      </c>
      <c r="R5" s="29" t="s">
        <v>58</v>
      </c>
      <c r="S5" s="29" t="s">
        <v>58</v>
      </c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30">
        <f t="shared" si="0"/>
        <v>8</v>
      </c>
      <c r="AS5" s="32"/>
      <c r="AT5" s="28">
        <v>2</v>
      </c>
      <c r="AU5" s="32" t="s">
        <v>62</v>
      </c>
      <c r="AW5" s="33">
        <f t="shared" si="1"/>
        <v>0.2</v>
      </c>
      <c r="AX5" s="20" t="str">
        <f t="shared" si="2"/>
        <v xml:space="preserve">NORMAL </v>
      </c>
    </row>
    <row r="6" spans="1:55" ht="12.95" customHeight="1">
      <c r="A6" s="35">
        <v>3</v>
      </c>
      <c r="B6" s="83" t="s">
        <v>63</v>
      </c>
      <c r="C6" s="84"/>
      <c r="D6" s="29" t="s">
        <v>61</v>
      </c>
      <c r="E6" s="29" t="s">
        <v>61</v>
      </c>
      <c r="F6" s="29" t="s">
        <v>61</v>
      </c>
      <c r="G6" s="29" t="s">
        <v>61</v>
      </c>
      <c r="H6" s="29" t="s">
        <v>61</v>
      </c>
      <c r="I6" s="29" t="s">
        <v>61</v>
      </c>
      <c r="J6" s="29" t="s">
        <v>61</v>
      </c>
      <c r="K6" s="29" t="s">
        <v>61</v>
      </c>
      <c r="L6" s="29" t="s">
        <v>61</v>
      </c>
      <c r="M6" s="29" t="s">
        <v>61</v>
      </c>
      <c r="N6" s="29" t="s">
        <v>61</v>
      </c>
      <c r="O6" s="29" t="s">
        <v>61</v>
      </c>
      <c r="P6" s="29" t="s">
        <v>61</v>
      </c>
      <c r="Q6" s="29" t="s">
        <v>61</v>
      </c>
      <c r="R6" s="29" t="s">
        <v>61</v>
      </c>
      <c r="S6" s="29" t="s">
        <v>61</v>
      </c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30">
        <f t="shared" si="0"/>
        <v>16</v>
      </c>
      <c r="AS6" s="32"/>
      <c r="AT6" s="35">
        <v>3</v>
      </c>
      <c r="AU6" s="32" t="s">
        <v>59</v>
      </c>
      <c r="AW6" s="33">
        <f t="shared" si="1"/>
        <v>0.4</v>
      </c>
      <c r="AX6" s="20" t="str">
        <f t="shared" si="2"/>
        <v>ESTOURADO</v>
      </c>
    </row>
    <row r="7" spans="1:55" ht="12.95" customHeight="1">
      <c r="A7" s="28">
        <v>4</v>
      </c>
      <c r="B7" s="42" t="s">
        <v>64</v>
      </c>
      <c r="C7" s="43"/>
      <c r="D7" s="29" t="s">
        <v>58</v>
      </c>
      <c r="E7" s="29" t="s">
        <v>58</v>
      </c>
      <c r="F7" s="29" t="s">
        <v>58</v>
      </c>
      <c r="G7" s="29" t="s">
        <v>58</v>
      </c>
      <c r="H7" s="29" t="s">
        <v>58</v>
      </c>
      <c r="I7" s="29" t="s">
        <v>58</v>
      </c>
      <c r="J7" s="29" t="s">
        <v>58</v>
      </c>
      <c r="K7" s="29" t="s">
        <v>58</v>
      </c>
      <c r="L7" s="29" t="s">
        <v>58</v>
      </c>
      <c r="M7" s="29" t="s">
        <v>58</v>
      </c>
      <c r="N7" s="29" t="s">
        <v>58</v>
      </c>
      <c r="O7" s="29" t="s">
        <v>58</v>
      </c>
      <c r="P7" s="29" t="s">
        <v>58</v>
      </c>
      <c r="Q7" s="29" t="s">
        <v>58</v>
      </c>
      <c r="R7" s="29" t="s">
        <v>58</v>
      </c>
      <c r="S7" s="29" t="s">
        <v>58</v>
      </c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30">
        <f t="shared" si="0"/>
        <v>0</v>
      </c>
      <c r="AS7" s="32"/>
      <c r="AT7" s="28">
        <v>4</v>
      </c>
      <c r="AU7" s="32" t="s">
        <v>62</v>
      </c>
      <c r="AW7" s="33">
        <f t="shared" si="1"/>
        <v>0</v>
      </c>
      <c r="AX7" s="20" t="str">
        <f t="shared" si="2"/>
        <v xml:space="preserve">NORMAL </v>
      </c>
    </row>
    <row r="8" spans="1:55" ht="12.95" customHeight="1">
      <c r="A8" s="28">
        <v>5</v>
      </c>
      <c r="B8" s="83" t="s">
        <v>65</v>
      </c>
      <c r="C8" s="84"/>
      <c r="D8" s="29" t="s">
        <v>58</v>
      </c>
      <c r="E8" s="29" t="s">
        <v>58</v>
      </c>
      <c r="F8" s="29" t="s">
        <v>58</v>
      </c>
      <c r="G8" s="29" t="s">
        <v>58</v>
      </c>
      <c r="H8" s="29" t="s">
        <v>58</v>
      </c>
      <c r="I8" s="29" t="s">
        <v>58</v>
      </c>
      <c r="J8" s="29" t="s">
        <v>58</v>
      </c>
      <c r="K8" s="29" t="s">
        <v>58</v>
      </c>
      <c r="L8" s="29" t="s">
        <v>58</v>
      </c>
      <c r="M8" s="29" t="s">
        <v>58</v>
      </c>
      <c r="N8" s="29" t="s">
        <v>58</v>
      </c>
      <c r="O8" s="29" t="s">
        <v>58</v>
      </c>
      <c r="P8" s="29" t="s">
        <v>58</v>
      </c>
      <c r="Q8" s="29" t="s">
        <v>58</v>
      </c>
      <c r="R8" s="29" t="s">
        <v>58</v>
      </c>
      <c r="S8" s="29" t="s">
        <v>58</v>
      </c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30">
        <f t="shared" si="0"/>
        <v>0</v>
      </c>
      <c r="AS8" s="32"/>
      <c r="AT8" s="35">
        <v>5</v>
      </c>
      <c r="AU8" s="32" t="s">
        <v>59</v>
      </c>
      <c r="AW8" s="33">
        <f t="shared" si="1"/>
        <v>0</v>
      </c>
      <c r="AX8" s="20" t="str">
        <f t="shared" si="2"/>
        <v xml:space="preserve">NORMAL </v>
      </c>
    </row>
    <row r="9" spans="1:55" ht="12.95" customHeight="1">
      <c r="A9" s="35">
        <v>6</v>
      </c>
      <c r="B9" s="83" t="s">
        <v>66</v>
      </c>
      <c r="C9" s="84"/>
      <c r="D9" s="29" t="s">
        <v>58</v>
      </c>
      <c r="E9" s="29" t="s">
        <v>58</v>
      </c>
      <c r="F9" s="29" t="s">
        <v>58</v>
      </c>
      <c r="G9" s="29" t="s">
        <v>58</v>
      </c>
      <c r="H9" s="29" t="s">
        <v>58</v>
      </c>
      <c r="I9" s="29" t="s">
        <v>58</v>
      </c>
      <c r="J9" s="29" t="s">
        <v>58</v>
      </c>
      <c r="K9" s="29" t="s">
        <v>58</v>
      </c>
      <c r="L9" s="29" t="s">
        <v>58</v>
      </c>
      <c r="M9" s="29" t="s">
        <v>58</v>
      </c>
      <c r="N9" s="29" t="s">
        <v>58</v>
      </c>
      <c r="O9" s="29" t="s">
        <v>58</v>
      </c>
      <c r="P9" s="29" t="s">
        <v>58</v>
      </c>
      <c r="Q9" s="29" t="s">
        <v>58</v>
      </c>
      <c r="R9" s="29" t="s">
        <v>58</v>
      </c>
      <c r="S9" s="29" t="s">
        <v>58</v>
      </c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0">
        <f t="shared" si="0"/>
        <v>0</v>
      </c>
      <c r="AS9" s="32"/>
      <c r="AT9" s="28">
        <v>6</v>
      </c>
      <c r="AU9" s="32">
        <f t="shared" ref="AU9:AU34" si="3">AS9</f>
        <v>0</v>
      </c>
      <c r="AW9" s="33">
        <f t="shared" si="1"/>
        <v>0</v>
      </c>
      <c r="AX9" s="20" t="str">
        <f t="shared" si="2"/>
        <v xml:space="preserve">NORMAL </v>
      </c>
    </row>
    <row r="10" spans="1:55" ht="12.95" customHeight="1">
      <c r="A10" s="28">
        <v>7</v>
      </c>
      <c r="B10" s="42" t="s">
        <v>67</v>
      </c>
      <c r="C10" s="43"/>
      <c r="D10" s="29" t="s">
        <v>58</v>
      </c>
      <c r="E10" s="29" t="s">
        <v>58</v>
      </c>
      <c r="F10" s="29" t="s">
        <v>58</v>
      </c>
      <c r="G10" s="29" t="s">
        <v>58</v>
      </c>
      <c r="H10" s="29" t="s">
        <v>58</v>
      </c>
      <c r="I10" s="29" t="s">
        <v>58</v>
      </c>
      <c r="J10" s="29" t="s">
        <v>58</v>
      </c>
      <c r="K10" s="29" t="s">
        <v>58</v>
      </c>
      <c r="L10" s="29" t="s">
        <v>58</v>
      </c>
      <c r="M10" s="29" t="s">
        <v>58</v>
      </c>
      <c r="N10" s="29" t="s">
        <v>58</v>
      </c>
      <c r="O10" s="29" t="s">
        <v>58</v>
      </c>
      <c r="P10" s="29" t="s">
        <v>58</v>
      </c>
      <c r="Q10" s="29" t="s">
        <v>58</v>
      </c>
      <c r="R10" s="29" t="s">
        <v>58</v>
      </c>
      <c r="S10" s="29" t="s">
        <v>58</v>
      </c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30">
        <f t="shared" si="0"/>
        <v>0</v>
      </c>
      <c r="AS10" s="32"/>
      <c r="AT10" s="35">
        <v>7</v>
      </c>
      <c r="AU10" s="32">
        <f t="shared" si="3"/>
        <v>0</v>
      </c>
      <c r="AW10" s="33">
        <f t="shared" si="1"/>
        <v>0</v>
      </c>
      <c r="AX10" s="20" t="str">
        <f t="shared" si="2"/>
        <v xml:space="preserve">NORMAL </v>
      </c>
    </row>
    <row r="11" spans="1:55" ht="12.95" customHeight="1">
      <c r="A11" s="28">
        <v>8</v>
      </c>
      <c r="B11" s="42" t="s">
        <v>68</v>
      </c>
      <c r="C11" s="43"/>
      <c r="D11" s="29" t="s">
        <v>58</v>
      </c>
      <c r="E11" s="29" t="s">
        <v>58</v>
      </c>
      <c r="F11" s="29" t="s">
        <v>58</v>
      </c>
      <c r="G11" s="29" t="s">
        <v>58</v>
      </c>
      <c r="H11" s="29" t="s">
        <v>58</v>
      </c>
      <c r="I11" s="29" t="s">
        <v>58</v>
      </c>
      <c r="J11" s="29" t="s">
        <v>58</v>
      </c>
      <c r="K11" s="29" t="s">
        <v>58</v>
      </c>
      <c r="L11" s="29" t="s">
        <v>58</v>
      </c>
      <c r="M11" s="29" t="s">
        <v>58</v>
      </c>
      <c r="N11" s="29" t="s">
        <v>58</v>
      </c>
      <c r="O11" s="29" t="s">
        <v>58</v>
      </c>
      <c r="P11" s="29" t="s">
        <v>58</v>
      </c>
      <c r="Q11" s="29" t="s">
        <v>58</v>
      </c>
      <c r="R11" s="29" t="s">
        <v>58</v>
      </c>
      <c r="S11" s="29" t="s">
        <v>58</v>
      </c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30">
        <f>COUNTIF(T11:AQ11,"|")</f>
        <v>0</v>
      </c>
      <c r="AS11" s="32"/>
      <c r="AT11" s="28">
        <v>8</v>
      </c>
      <c r="AU11" s="32">
        <f t="shared" si="3"/>
        <v>0</v>
      </c>
      <c r="AW11" s="33">
        <f t="shared" si="1"/>
        <v>0</v>
      </c>
      <c r="AX11" s="20" t="str">
        <f t="shared" si="2"/>
        <v xml:space="preserve">NORMAL </v>
      </c>
    </row>
    <row r="12" spans="1:55" ht="12.95" customHeight="1">
      <c r="A12" s="35">
        <v>9</v>
      </c>
      <c r="B12" s="42" t="s">
        <v>69</v>
      </c>
      <c r="C12" s="43"/>
      <c r="D12" s="29" t="s">
        <v>58</v>
      </c>
      <c r="E12" s="29" t="s">
        <v>58</v>
      </c>
      <c r="F12" s="29" t="s">
        <v>58</v>
      </c>
      <c r="G12" s="29" t="s">
        <v>58</v>
      </c>
      <c r="H12" s="29" t="s">
        <v>61</v>
      </c>
      <c r="I12" s="29" t="s">
        <v>61</v>
      </c>
      <c r="J12" s="29" t="s">
        <v>61</v>
      </c>
      <c r="K12" s="29" t="s">
        <v>61</v>
      </c>
      <c r="L12" s="29" t="s">
        <v>58</v>
      </c>
      <c r="M12" s="29" t="s">
        <v>58</v>
      </c>
      <c r="N12" s="29" t="s">
        <v>58</v>
      </c>
      <c r="O12" s="29" t="s">
        <v>58</v>
      </c>
      <c r="P12" s="29" t="s">
        <v>58</v>
      </c>
      <c r="Q12" s="29" t="s">
        <v>58</v>
      </c>
      <c r="R12" s="29" t="s">
        <v>58</v>
      </c>
      <c r="S12" s="29" t="s">
        <v>58</v>
      </c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30">
        <f>COUNTIF(T12:AQ12,"|")</f>
        <v>0</v>
      </c>
      <c r="AS12" s="32"/>
      <c r="AT12" s="35">
        <v>9</v>
      </c>
      <c r="AU12" s="32">
        <f t="shared" si="3"/>
        <v>0</v>
      </c>
      <c r="AW12" s="33">
        <f t="shared" si="1"/>
        <v>0</v>
      </c>
      <c r="AX12" s="20" t="str">
        <f t="shared" si="2"/>
        <v xml:space="preserve">NORMAL </v>
      </c>
    </row>
    <row r="13" spans="1:55" ht="12.95" customHeight="1">
      <c r="A13" s="28">
        <v>10</v>
      </c>
      <c r="B13" s="42" t="s">
        <v>70</v>
      </c>
      <c r="C13" s="43"/>
      <c r="D13" s="29" t="s">
        <v>58</v>
      </c>
      <c r="E13" s="29" t="s">
        <v>58</v>
      </c>
      <c r="F13" s="29" t="s">
        <v>58</v>
      </c>
      <c r="G13" s="29" t="s">
        <v>58</v>
      </c>
      <c r="H13" s="29" t="s">
        <v>58</v>
      </c>
      <c r="I13" s="29" t="s">
        <v>58</v>
      </c>
      <c r="J13" s="29" t="s">
        <v>58</v>
      </c>
      <c r="K13" s="29" t="s">
        <v>58</v>
      </c>
      <c r="L13" s="29" t="s">
        <v>58</v>
      </c>
      <c r="M13" s="29" t="s">
        <v>58</v>
      </c>
      <c r="N13" s="29" t="s">
        <v>58</v>
      </c>
      <c r="O13" s="29" t="s">
        <v>58</v>
      </c>
      <c r="P13" s="29" t="s">
        <v>58</v>
      </c>
      <c r="Q13" s="29" t="s">
        <v>58</v>
      </c>
      <c r="R13" s="29" t="s">
        <v>58</v>
      </c>
      <c r="S13" s="29" t="s">
        <v>58</v>
      </c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30">
        <f t="shared" si="0"/>
        <v>0</v>
      </c>
      <c r="AS13" s="32"/>
      <c r="AT13" s="28">
        <v>10</v>
      </c>
      <c r="AU13" s="32">
        <f t="shared" si="3"/>
        <v>0</v>
      </c>
      <c r="AW13" s="33">
        <f t="shared" si="1"/>
        <v>0</v>
      </c>
      <c r="AX13" s="20" t="str">
        <f t="shared" si="2"/>
        <v xml:space="preserve">NORMAL </v>
      </c>
    </row>
    <row r="14" spans="1:55" ht="12.95" customHeight="1">
      <c r="A14" s="28">
        <v>11</v>
      </c>
      <c r="B14" s="42" t="s">
        <v>71</v>
      </c>
      <c r="C14" s="43"/>
      <c r="D14" s="29" t="s">
        <v>58</v>
      </c>
      <c r="E14" s="29" t="s">
        <v>58</v>
      </c>
      <c r="F14" s="29" t="s">
        <v>58</v>
      </c>
      <c r="G14" s="29" t="s">
        <v>58</v>
      </c>
      <c r="H14" s="29" t="s">
        <v>58</v>
      </c>
      <c r="I14" s="29" t="s">
        <v>58</v>
      </c>
      <c r="J14" s="29" t="s">
        <v>58</v>
      </c>
      <c r="K14" s="29" t="s">
        <v>58</v>
      </c>
      <c r="L14" s="29" t="s">
        <v>58</v>
      </c>
      <c r="M14" s="29" t="s">
        <v>58</v>
      </c>
      <c r="N14" s="29" t="s">
        <v>58</v>
      </c>
      <c r="O14" s="29" t="s">
        <v>58</v>
      </c>
      <c r="P14" s="29" t="s">
        <v>58</v>
      </c>
      <c r="Q14" s="29" t="s">
        <v>58</v>
      </c>
      <c r="R14" s="29" t="s">
        <v>58</v>
      </c>
      <c r="S14" s="29" t="s">
        <v>58</v>
      </c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30">
        <f t="shared" si="0"/>
        <v>0</v>
      </c>
      <c r="AS14" s="32"/>
      <c r="AT14" s="35">
        <v>11</v>
      </c>
      <c r="AU14" s="32">
        <f t="shared" si="3"/>
        <v>0</v>
      </c>
      <c r="AW14" s="33">
        <f t="shared" si="1"/>
        <v>0</v>
      </c>
      <c r="AX14" s="20" t="str">
        <f>IF(AW14&gt;25%,"ESTOURADO","NORMAL ")</f>
        <v xml:space="preserve">NORMAL </v>
      </c>
    </row>
    <row r="15" spans="1:55" ht="12.95" customHeight="1">
      <c r="A15" s="28">
        <v>12</v>
      </c>
      <c r="B15" s="42" t="s">
        <v>72</v>
      </c>
      <c r="C15" s="43"/>
      <c r="D15" s="29" t="s">
        <v>58</v>
      </c>
      <c r="E15" s="29" t="s">
        <v>58</v>
      </c>
      <c r="F15" s="29" t="s">
        <v>58</v>
      </c>
      <c r="G15" s="29" t="s">
        <v>58</v>
      </c>
      <c r="H15" s="29" t="s">
        <v>58</v>
      </c>
      <c r="I15" s="29" t="s">
        <v>58</v>
      </c>
      <c r="J15" s="29" t="s">
        <v>58</v>
      </c>
      <c r="K15" s="29" t="s">
        <v>58</v>
      </c>
      <c r="L15" s="29" t="s">
        <v>58</v>
      </c>
      <c r="M15" s="29" t="s">
        <v>58</v>
      </c>
      <c r="N15" s="29" t="s">
        <v>58</v>
      </c>
      <c r="O15" s="29" t="s">
        <v>58</v>
      </c>
      <c r="P15" s="29" t="s">
        <v>58</v>
      </c>
      <c r="Q15" s="29" t="s">
        <v>58</v>
      </c>
      <c r="R15" s="29" t="s">
        <v>58</v>
      </c>
      <c r="S15" s="29" t="s">
        <v>58</v>
      </c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30">
        <f t="shared" si="0"/>
        <v>0</v>
      </c>
      <c r="AS15" s="32"/>
      <c r="AT15" s="28">
        <v>12</v>
      </c>
      <c r="AU15" s="32">
        <f t="shared" si="3"/>
        <v>0</v>
      </c>
      <c r="AW15" s="33">
        <f t="shared" si="1"/>
        <v>0</v>
      </c>
      <c r="AX15" s="20" t="str">
        <f>IF(AW15&gt;0.25,"ESTOURADO","NORMAL ")</f>
        <v xml:space="preserve">NORMAL </v>
      </c>
    </row>
    <row r="16" spans="1:55" ht="12.95" customHeight="1">
      <c r="A16" s="35">
        <v>13</v>
      </c>
      <c r="B16" s="42" t="s">
        <v>73</v>
      </c>
      <c r="C16" s="43"/>
      <c r="D16" s="29" t="s">
        <v>58</v>
      </c>
      <c r="E16" s="29" t="s">
        <v>58</v>
      </c>
      <c r="F16" s="29" t="s">
        <v>58</v>
      </c>
      <c r="G16" s="29" t="s">
        <v>58</v>
      </c>
      <c r="H16" s="29" t="s">
        <v>58</v>
      </c>
      <c r="I16" s="29" t="s">
        <v>58</v>
      </c>
      <c r="J16" s="29" t="s">
        <v>58</v>
      </c>
      <c r="K16" s="29" t="s">
        <v>58</v>
      </c>
      <c r="L16" s="29" t="s">
        <v>58</v>
      </c>
      <c r="M16" s="29" t="s">
        <v>58</v>
      </c>
      <c r="N16" s="29" t="s">
        <v>58</v>
      </c>
      <c r="O16" s="29" t="s">
        <v>58</v>
      </c>
      <c r="P16" s="29" t="s">
        <v>58</v>
      </c>
      <c r="Q16" s="29" t="s">
        <v>58</v>
      </c>
      <c r="R16" s="29" t="s">
        <v>58</v>
      </c>
      <c r="S16" s="29" t="s">
        <v>58</v>
      </c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30">
        <f t="shared" si="0"/>
        <v>0</v>
      </c>
      <c r="AS16" s="32"/>
      <c r="AT16" s="35">
        <v>13</v>
      </c>
      <c r="AU16" s="32">
        <f t="shared" si="3"/>
        <v>0</v>
      </c>
      <c r="AW16" s="33">
        <f t="shared" si="1"/>
        <v>0</v>
      </c>
      <c r="AX16" s="20" t="str">
        <f>IF(AW16&gt;25%,"ESTOURADO","NORMAL ")</f>
        <v xml:space="preserve">NORMAL </v>
      </c>
      <c r="AZ16"/>
    </row>
    <row r="17" spans="1:50" ht="12.95" customHeight="1">
      <c r="A17" s="28">
        <v>14</v>
      </c>
      <c r="B17" s="42" t="s">
        <v>74</v>
      </c>
      <c r="C17" s="43"/>
      <c r="D17" s="29" t="s">
        <v>58</v>
      </c>
      <c r="E17" s="29" t="s">
        <v>58</v>
      </c>
      <c r="F17" s="29" t="s">
        <v>58</v>
      </c>
      <c r="G17" s="29" t="s">
        <v>58</v>
      </c>
      <c r="H17" s="29" t="s">
        <v>58</v>
      </c>
      <c r="I17" s="29" t="s">
        <v>58</v>
      </c>
      <c r="J17" s="29" t="s">
        <v>58</v>
      </c>
      <c r="K17" s="29" t="s">
        <v>58</v>
      </c>
      <c r="L17" s="29" t="s">
        <v>58</v>
      </c>
      <c r="M17" s="29" t="s">
        <v>58</v>
      </c>
      <c r="N17" s="29" t="s">
        <v>58</v>
      </c>
      <c r="O17" s="29" t="s">
        <v>58</v>
      </c>
      <c r="P17" s="29" t="s">
        <v>58</v>
      </c>
      <c r="Q17" s="29" t="s">
        <v>58</v>
      </c>
      <c r="R17" s="29" t="s">
        <v>58</v>
      </c>
      <c r="S17" s="29" t="s">
        <v>58</v>
      </c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30">
        <f t="shared" si="0"/>
        <v>0</v>
      </c>
      <c r="AS17" s="32"/>
      <c r="AT17" s="28">
        <v>14</v>
      </c>
      <c r="AU17" s="32">
        <f t="shared" si="3"/>
        <v>0</v>
      </c>
      <c r="AW17" s="33">
        <f t="shared" si="1"/>
        <v>0</v>
      </c>
      <c r="AX17" s="20" t="str">
        <f t="shared" ref="AX17:AX34" si="4">IF(AW17&gt;0.25,"ESTOURADO","NORMAL ")</f>
        <v xml:space="preserve">NORMAL </v>
      </c>
    </row>
    <row r="18" spans="1:50" ht="12.95" customHeight="1">
      <c r="A18" s="35">
        <v>15</v>
      </c>
      <c r="B18" s="42" t="s">
        <v>75</v>
      </c>
      <c r="C18" s="43"/>
      <c r="D18" s="29" t="s">
        <v>58</v>
      </c>
      <c r="E18" s="29" t="s">
        <v>58</v>
      </c>
      <c r="F18" s="29" t="s">
        <v>58</v>
      </c>
      <c r="G18" s="29" t="s">
        <v>58</v>
      </c>
      <c r="H18" s="29" t="s">
        <v>58</v>
      </c>
      <c r="I18" s="29" t="s">
        <v>58</v>
      </c>
      <c r="J18" s="29" t="s">
        <v>58</v>
      </c>
      <c r="K18" s="29" t="s">
        <v>58</v>
      </c>
      <c r="L18" s="29" t="s">
        <v>58</v>
      </c>
      <c r="M18" s="29" t="s">
        <v>58</v>
      </c>
      <c r="N18" s="29" t="s">
        <v>58</v>
      </c>
      <c r="O18" s="29" t="s">
        <v>58</v>
      </c>
      <c r="P18" s="29" t="s">
        <v>58</v>
      </c>
      <c r="Q18" s="29" t="s">
        <v>58</v>
      </c>
      <c r="R18" s="29" t="s">
        <v>58</v>
      </c>
      <c r="S18" s="29" t="s">
        <v>58</v>
      </c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30">
        <f t="shared" si="0"/>
        <v>0</v>
      </c>
      <c r="AS18" s="32"/>
      <c r="AT18" s="35">
        <v>15</v>
      </c>
      <c r="AU18" s="32">
        <f t="shared" si="3"/>
        <v>0</v>
      </c>
      <c r="AW18" s="33">
        <f t="shared" si="1"/>
        <v>0</v>
      </c>
      <c r="AX18" s="20" t="str">
        <f t="shared" si="4"/>
        <v xml:space="preserve">NORMAL </v>
      </c>
    </row>
    <row r="19" spans="1:50" ht="12.95" customHeight="1">
      <c r="A19" s="28">
        <v>16</v>
      </c>
      <c r="B19" s="42" t="s">
        <v>76</v>
      </c>
      <c r="C19" s="43"/>
      <c r="D19" s="29" t="s">
        <v>58</v>
      </c>
      <c r="E19" s="29" t="s">
        <v>58</v>
      </c>
      <c r="F19" s="29" t="s">
        <v>58</v>
      </c>
      <c r="G19" s="29" t="s">
        <v>58</v>
      </c>
      <c r="H19" s="29" t="s">
        <v>58</v>
      </c>
      <c r="I19" s="29" t="s">
        <v>58</v>
      </c>
      <c r="J19" s="29" t="s">
        <v>58</v>
      </c>
      <c r="K19" s="29" t="s">
        <v>58</v>
      </c>
      <c r="L19" s="29" t="s">
        <v>58</v>
      </c>
      <c r="M19" s="29" t="s">
        <v>58</v>
      </c>
      <c r="N19" s="29" t="s">
        <v>58</v>
      </c>
      <c r="O19" s="29" t="s">
        <v>58</v>
      </c>
      <c r="P19" s="29" t="s">
        <v>58</v>
      </c>
      <c r="Q19" s="29" t="s">
        <v>58</v>
      </c>
      <c r="R19" s="29" t="s">
        <v>58</v>
      </c>
      <c r="S19" s="29" t="s">
        <v>58</v>
      </c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30">
        <f t="shared" si="0"/>
        <v>0</v>
      </c>
      <c r="AS19" s="32"/>
      <c r="AT19" s="28">
        <v>16</v>
      </c>
      <c r="AU19" s="32">
        <f t="shared" si="3"/>
        <v>0</v>
      </c>
      <c r="AW19" s="33">
        <f t="shared" si="1"/>
        <v>0</v>
      </c>
      <c r="AX19" s="20" t="str">
        <f t="shared" si="4"/>
        <v xml:space="preserve">NORMAL </v>
      </c>
    </row>
    <row r="20" spans="1:50" ht="12.95" customHeight="1">
      <c r="A20" s="35">
        <v>17</v>
      </c>
      <c r="B20" s="42" t="s">
        <v>77</v>
      </c>
      <c r="C20" s="43"/>
      <c r="D20" s="29" t="s">
        <v>58</v>
      </c>
      <c r="E20" s="29" t="s">
        <v>58</v>
      </c>
      <c r="F20" s="29" t="s">
        <v>58</v>
      </c>
      <c r="G20" s="29" t="s">
        <v>58</v>
      </c>
      <c r="H20" s="29" t="s">
        <v>58</v>
      </c>
      <c r="I20" s="29" t="s">
        <v>58</v>
      </c>
      <c r="J20" s="29" t="s">
        <v>58</v>
      </c>
      <c r="K20" s="29" t="s">
        <v>58</v>
      </c>
      <c r="L20" s="29" t="s">
        <v>58</v>
      </c>
      <c r="M20" s="29" t="s">
        <v>58</v>
      </c>
      <c r="N20" s="29" t="s">
        <v>61</v>
      </c>
      <c r="O20" s="29" t="s">
        <v>61</v>
      </c>
      <c r="P20" s="29" t="s">
        <v>61</v>
      </c>
      <c r="Q20" s="29" t="s">
        <v>61</v>
      </c>
      <c r="R20" s="29" t="s">
        <v>61</v>
      </c>
      <c r="S20" s="29" t="s">
        <v>61</v>
      </c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30">
        <f t="shared" si="0"/>
        <v>6</v>
      </c>
      <c r="AS20" s="32"/>
      <c r="AT20" s="35">
        <v>17</v>
      </c>
      <c r="AU20" s="32">
        <f t="shared" si="3"/>
        <v>0</v>
      </c>
      <c r="AW20" s="33">
        <f t="shared" si="1"/>
        <v>0.15</v>
      </c>
      <c r="AX20" s="20" t="str">
        <f t="shared" si="4"/>
        <v xml:space="preserve">NORMAL </v>
      </c>
    </row>
    <row r="21" spans="1:50" ht="12.95" customHeight="1">
      <c r="A21" s="28">
        <v>18</v>
      </c>
      <c r="B21" s="42" t="s">
        <v>78</v>
      </c>
      <c r="C21" s="43"/>
      <c r="D21" s="29" t="s">
        <v>58</v>
      </c>
      <c r="E21" s="29" t="s">
        <v>58</v>
      </c>
      <c r="F21" s="29" t="s">
        <v>58</v>
      </c>
      <c r="G21" s="29" t="s">
        <v>58</v>
      </c>
      <c r="H21" s="29" t="s">
        <v>58</v>
      </c>
      <c r="I21" s="29" t="s">
        <v>58</v>
      </c>
      <c r="J21" s="29" t="s">
        <v>58</v>
      </c>
      <c r="K21" s="29" t="s">
        <v>58</v>
      </c>
      <c r="L21" s="29" t="s">
        <v>58</v>
      </c>
      <c r="M21" s="29" t="s">
        <v>58</v>
      </c>
      <c r="N21" s="29" t="s">
        <v>58</v>
      </c>
      <c r="O21" s="29" t="s">
        <v>58</v>
      </c>
      <c r="P21" s="29" t="s">
        <v>58</v>
      </c>
      <c r="Q21" s="29" t="s">
        <v>58</v>
      </c>
      <c r="R21" s="29" t="s">
        <v>58</v>
      </c>
      <c r="S21" s="29" t="s">
        <v>58</v>
      </c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30">
        <f t="shared" si="0"/>
        <v>0</v>
      </c>
      <c r="AS21" s="32"/>
      <c r="AT21" s="28">
        <v>18</v>
      </c>
      <c r="AU21" s="32">
        <f t="shared" si="3"/>
        <v>0</v>
      </c>
      <c r="AW21" s="33">
        <f t="shared" si="1"/>
        <v>0</v>
      </c>
      <c r="AX21" s="20" t="str">
        <f t="shared" si="4"/>
        <v xml:space="preserve">NORMAL </v>
      </c>
    </row>
    <row r="22" spans="1:50" ht="12.95" customHeight="1">
      <c r="A22" s="35">
        <v>19</v>
      </c>
      <c r="B22" s="42" t="s">
        <v>79</v>
      </c>
      <c r="C22" s="43"/>
      <c r="D22" s="29" t="s">
        <v>58</v>
      </c>
      <c r="E22" s="29" t="s">
        <v>58</v>
      </c>
      <c r="F22" s="29" t="s">
        <v>58</v>
      </c>
      <c r="G22" s="29" t="s">
        <v>58</v>
      </c>
      <c r="H22" s="29" t="s">
        <v>58</v>
      </c>
      <c r="I22" s="29" t="s">
        <v>58</v>
      </c>
      <c r="J22" s="29" t="s">
        <v>58</v>
      </c>
      <c r="K22" s="29" t="s">
        <v>58</v>
      </c>
      <c r="L22" s="29" t="s">
        <v>58</v>
      </c>
      <c r="M22" s="29" t="s">
        <v>58</v>
      </c>
      <c r="N22" s="29" t="s">
        <v>58</v>
      </c>
      <c r="O22" s="29" t="s">
        <v>58</v>
      </c>
      <c r="P22" s="29" t="s">
        <v>58</v>
      </c>
      <c r="Q22" s="29" t="s">
        <v>58</v>
      </c>
      <c r="R22" s="29" t="s">
        <v>58</v>
      </c>
      <c r="S22" s="29" t="s">
        <v>58</v>
      </c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30">
        <f t="shared" si="0"/>
        <v>0</v>
      </c>
      <c r="AS22" s="32"/>
      <c r="AT22" s="35">
        <v>19</v>
      </c>
      <c r="AU22" s="32">
        <f t="shared" si="3"/>
        <v>0</v>
      </c>
      <c r="AW22" s="33">
        <f t="shared" si="1"/>
        <v>0</v>
      </c>
      <c r="AX22" s="20" t="str">
        <f t="shared" si="4"/>
        <v xml:space="preserve">NORMAL </v>
      </c>
    </row>
    <row r="23" spans="1:50" ht="12.95" customHeight="1">
      <c r="A23" s="28">
        <v>20</v>
      </c>
      <c r="B23" s="96" t="s">
        <v>80</v>
      </c>
      <c r="C23" s="97"/>
      <c r="D23" s="29" t="s">
        <v>58</v>
      </c>
      <c r="E23" s="29" t="s">
        <v>58</v>
      </c>
      <c r="F23" s="29" t="s">
        <v>58</v>
      </c>
      <c r="G23" s="29" t="s">
        <v>58</v>
      </c>
      <c r="H23" s="29" t="s">
        <v>58</v>
      </c>
      <c r="I23" s="29" t="s">
        <v>58</v>
      </c>
      <c r="J23" s="29" t="s">
        <v>58</v>
      </c>
      <c r="K23" s="29" t="s">
        <v>58</v>
      </c>
      <c r="L23" s="29" t="s">
        <v>58</v>
      </c>
      <c r="M23" s="29" t="s">
        <v>58</v>
      </c>
      <c r="N23" s="29" t="s">
        <v>58</v>
      </c>
      <c r="O23" s="29" t="s">
        <v>58</v>
      </c>
      <c r="P23" s="29" t="s">
        <v>58</v>
      </c>
      <c r="Q23" s="29" t="s">
        <v>58</v>
      </c>
      <c r="R23" s="29" t="s">
        <v>58</v>
      </c>
      <c r="S23" s="29" t="s">
        <v>58</v>
      </c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30">
        <f t="shared" si="0"/>
        <v>0</v>
      </c>
      <c r="AS23" s="32"/>
      <c r="AT23" s="28">
        <v>20</v>
      </c>
      <c r="AU23" s="32">
        <f t="shared" si="3"/>
        <v>0</v>
      </c>
      <c r="AW23" s="33">
        <f t="shared" si="1"/>
        <v>0</v>
      </c>
      <c r="AX23" s="20" t="str">
        <f t="shared" si="4"/>
        <v xml:space="preserve">NORMAL </v>
      </c>
    </row>
    <row r="24" spans="1:50" ht="12.95" customHeight="1">
      <c r="A24" s="35">
        <v>21</v>
      </c>
      <c r="B24" s="42" t="s">
        <v>81</v>
      </c>
      <c r="C24" s="43"/>
      <c r="D24" s="29" t="s">
        <v>58</v>
      </c>
      <c r="E24" s="29" t="s">
        <v>58</v>
      </c>
      <c r="F24" s="29" t="s">
        <v>58</v>
      </c>
      <c r="G24" s="29" t="s">
        <v>58</v>
      </c>
      <c r="H24" s="29" t="s">
        <v>58</v>
      </c>
      <c r="I24" s="29" t="s">
        <v>58</v>
      </c>
      <c r="J24" s="29" t="s">
        <v>58</v>
      </c>
      <c r="K24" s="29" t="s">
        <v>58</v>
      </c>
      <c r="L24" s="29" t="s">
        <v>58</v>
      </c>
      <c r="M24" s="29" t="s">
        <v>58</v>
      </c>
      <c r="N24" s="29" t="s">
        <v>58</v>
      </c>
      <c r="O24" s="29" t="s">
        <v>58</v>
      </c>
      <c r="P24" s="29" t="s">
        <v>58</v>
      </c>
      <c r="Q24" s="29" t="s">
        <v>58</v>
      </c>
      <c r="R24" s="29" t="s">
        <v>58</v>
      </c>
      <c r="S24" s="29" t="s">
        <v>58</v>
      </c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30">
        <f t="shared" si="0"/>
        <v>0</v>
      </c>
      <c r="AS24" s="32"/>
      <c r="AT24" s="35">
        <v>21</v>
      </c>
      <c r="AU24" s="32">
        <f t="shared" si="3"/>
        <v>0</v>
      </c>
      <c r="AW24" s="33">
        <f t="shared" si="1"/>
        <v>0</v>
      </c>
      <c r="AX24" s="20" t="str">
        <f t="shared" si="4"/>
        <v xml:space="preserve">NORMAL </v>
      </c>
    </row>
    <row r="25" spans="1:50" ht="12.95" customHeight="1">
      <c r="A25" s="28"/>
      <c r="B25" s="42"/>
      <c r="C25" s="43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30">
        <f t="shared" si="0"/>
        <v>0</v>
      </c>
      <c r="AS25" s="32"/>
      <c r="AT25" s="28">
        <v>22</v>
      </c>
      <c r="AU25" s="32">
        <f t="shared" si="3"/>
        <v>0</v>
      </c>
      <c r="AW25" s="33">
        <f t="shared" si="1"/>
        <v>0</v>
      </c>
      <c r="AX25" s="20" t="str">
        <f t="shared" si="4"/>
        <v xml:space="preserve">NORMAL </v>
      </c>
    </row>
    <row r="26" spans="1:50" ht="12.95" customHeight="1">
      <c r="A26" s="35"/>
      <c r="B26" s="83"/>
      <c r="C26" s="84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30">
        <f t="shared" si="0"/>
        <v>0</v>
      </c>
      <c r="AS26" s="32"/>
      <c r="AT26" s="35">
        <v>23</v>
      </c>
      <c r="AU26" s="32">
        <f t="shared" si="3"/>
        <v>0</v>
      </c>
      <c r="AW26" s="33">
        <f t="shared" si="1"/>
        <v>0</v>
      </c>
      <c r="AX26" s="20" t="str">
        <f t="shared" si="4"/>
        <v xml:space="preserve">NORMAL </v>
      </c>
    </row>
    <row r="27" spans="1:50" ht="12.95" customHeight="1">
      <c r="A27" s="28"/>
      <c r="B27" s="42"/>
      <c r="C27" s="43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30">
        <f t="shared" si="0"/>
        <v>0</v>
      </c>
      <c r="AS27" s="32"/>
      <c r="AT27" s="35">
        <v>24</v>
      </c>
      <c r="AU27" s="32">
        <f t="shared" si="3"/>
        <v>0</v>
      </c>
      <c r="AW27" s="33">
        <f t="shared" si="1"/>
        <v>0</v>
      </c>
      <c r="AX27" s="20" t="str">
        <f t="shared" si="4"/>
        <v xml:space="preserve">NORMAL </v>
      </c>
    </row>
    <row r="28" spans="1:50" ht="12.95" customHeight="1">
      <c r="A28" s="35"/>
      <c r="B28" s="42"/>
      <c r="C28" s="43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30">
        <f t="shared" si="0"/>
        <v>0</v>
      </c>
      <c r="AS28" s="32"/>
      <c r="AT28" s="35">
        <v>25</v>
      </c>
      <c r="AU28" s="32">
        <f t="shared" si="3"/>
        <v>0</v>
      </c>
      <c r="AW28" s="33">
        <f t="shared" si="1"/>
        <v>0</v>
      </c>
      <c r="AX28" s="20" t="str">
        <f t="shared" si="4"/>
        <v xml:space="preserve">NORMAL </v>
      </c>
    </row>
    <row r="29" spans="1:50" ht="12.95" customHeight="1">
      <c r="A29" s="28"/>
      <c r="B29" s="42"/>
      <c r="C29" s="43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30">
        <f t="shared" si="0"/>
        <v>0</v>
      </c>
      <c r="AS29" s="32"/>
      <c r="AT29" s="35">
        <v>26</v>
      </c>
      <c r="AU29" s="32">
        <f t="shared" si="3"/>
        <v>0</v>
      </c>
      <c r="AW29" s="33">
        <f t="shared" si="1"/>
        <v>0</v>
      </c>
      <c r="AX29" s="20" t="str">
        <f t="shared" si="4"/>
        <v xml:space="preserve">NORMAL </v>
      </c>
    </row>
    <row r="30" spans="1:50" ht="12.95" customHeight="1">
      <c r="A30" s="28"/>
      <c r="B30" s="96"/>
      <c r="C30" s="97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30">
        <f t="shared" si="0"/>
        <v>0</v>
      </c>
      <c r="AS30" s="32"/>
      <c r="AT30" s="35">
        <v>27</v>
      </c>
      <c r="AU30" s="32">
        <f t="shared" si="3"/>
        <v>0</v>
      </c>
      <c r="AW30" s="33">
        <f t="shared" si="1"/>
        <v>0</v>
      </c>
      <c r="AX30" s="20" t="str">
        <f t="shared" si="4"/>
        <v xml:space="preserve">NORMAL </v>
      </c>
    </row>
    <row r="31" spans="1:50" ht="12.95" customHeight="1">
      <c r="A31" s="35"/>
      <c r="B31" s="42"/>
      <c r="C31" s="43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30">
        <f>COUNTIF(T31:AQ31,"|")</f>
        <v>0</v>
      </c>
      <c r="AS31" s="32"/>
      <c r="AT31" s="35">
        <v>28</v>
      </c>
      <c r="AU31" s="32">
        <f t="shared" si="3"/>
        <v>0</v>
      </c>
      <c r="AW31" s="33">
        <f t="shared" si="1"/>
        <v>0</v>
      </c>
      <c r="AX31" s="20" t="str">
        <f t="shared" si="4"/>
        <v xml:space="preserve">NORMAL </v>
      </c>
    </row>
    <row r="32" spans="1:50" ht="12.95" customHeight="1">
      <c r="A32" s="28"/>
      <c r="B32" s="42"/>
      <c r="C32" s="43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30">
        <f>COUNTIF(T32:AQ32,"|")</f>
        <v>0</v>
      </c>
      <c r="AS32" s="32"/>
      <c r="AT32" s="35">
        <v>29</v>
      </c>
      <c r="AU32" s="32">
        <f t="shared" si="3"/>
        <v>0</v>
      </c>
      <c r="AW32" s="33">
        <f t="shared" si="1"/>
        <v>0</v>
      </c>
      <c r="AX32" s="20" t="str">
        <f t="shared" si="4"/>
        <v xml:space="preserve">NORMAL </v>
      </c>
    </row>
    <row r="33" spans="1:50" ht="12.95" customHeight="1">
      <c r="A33" s="28"/>
      <c r="B33" s="96"/>
      <c r="C33" s="97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30">
        <f t="shared" si="0"/>
        <v>0</v>
      </c>
      <c r="AS33" s="32"/>
      <c r="AT33" s="35">
        <v>30</v>
      </c>
      <c r="AU33" s="32">
        <f t="shared" si="3"/>
        <v>0</v>
      </c>
      <c r="AW33" s="33">
        <f t="shared" si="1"/>
        <v>0</v>
      </c>
      <c r="AX33" s="20" t="str">
        <f t="shared" si="4"/>
        <v xml:space="preserve">NORMAL </v>
      </c>
    </row>
    <row r="34" spans="1:50" ht="12.95" customHeight="1">
      <c r="A34" s="28"/>
      <c r="B34" s="36"/>
      <c r="C34" s="37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30">
        <f t="shared" si="0"/>
        <v>0</v>
      </c>
      <c r="AS34" s="32"/>
      <c r="AT34" s="35">
        <v>31</v>
      </c>
      <c r="AU34" s="32">
        <f t="shared" si="3"/>
        <v>0</v>
      </c>
      <c r="AW34" s="33">
        <f t="shared" si="1"/>
        <v>0</v>
      </c>
      <c r="AX34" s="20" t="str">
        <f t="shared" si="4"/>
        <v xml:space="preserve">NORMAL </v>
      </c>
    </row>
    <row r="35" spans="1:50" ht="12.95" customHeight="1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</row>
    <row r="36" spans="1:50" ht="12.95" customHeight="1">
      <c r="A36" s="26"/>
      <c r="B36" s="26"/>
      <c r="C36" s="26"/>
      <c r="D36" s="26"/>
      <c r="AN36" s="26"/>
      <c r="AO36" s="26"/>
      <c r="AP36" s="26"/>
      <c r="AQ36" s="26"/>
      <c r="AR36" s="26"/>
      <c r="AS36" s="26"/>
      <c r="AT36" s="26"/>
      <c r="AU36" s="26"/>
    </row>
    <row r="37" spans="1:50" ht="12.95" customHeight="1">
      <c r="A37" s="80" t="s">
        <v>82</v>
      </c>
      <c r="B37" s="80"/>
      <c r="C37" s="80"/>
      <c r="D37" s="80"/>
      <c r="E37" s="80"/>
      <c r="F37" s="80"/>
      <c r="G37" s="80"/>
      <c r="H37" s="80"/>
      <c r="I37" s="80"/>
      <c r="J37" s="77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77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26"/>
      <c r="AL37" s="95"/>
      <c r="AM37" s="95"/>
      <c r="AN37" s="95"/>
      <c r="AO37" s="95"/>
      <c r="AP37" s="95"/>
      <c r="AQ37" s="95"/>
      <c r="AR37" s="95"/>
      <c r="AS37" s="95"/>
      <c r="AT37" s="95"/>
      <c r="AU37" s="95"/>
    </row>
    <row r="38" spans="1:50" ht="12.95" customHeight="1">
      <c r="A38" s="80"/>
      <c r="B38" s="80"/>
      <c r="C38" s="80"/>
      <c r="D38" s="80"/>
      <c r="E38" s="80"/>
      <c r="F38" s="80"/>
      <c r="G38" s="80"/>
      <c r="H38" s="80"/>
      <c r="I38" s="80"/>
      <c r="J38" s="77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77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26"/>
      <c r="AL38" s="95"/>
      <c r="AM38" s="95"/>
      <c r="AN38" s="95"/>
      <c r="AO38" s="95"/>
      <c r="AP38" s="95"/>
      <c r="AQ38" s="95"/>
      <c r="AR38" s="95"/>
      <c r="AS38" s="95"/>
      <c r="AT38" s="95"/>
      <c r="AU38" s="95"/>
    </row>
    <row r="39" spans="1:50" ht="12.95" customHeight="1">
      <c r="A39" s="38" t="s">
        <v>83</v>
      </c>
      <c r="B39" s="82"/>
      <c r="C39" s="82"/>
      <c r="D39" s="39"/>
      <c r="E39" s="39"/>
      <c r="F39" s="39"/>
      <c r="G39" s="39"/>
      <c r="H39" s="39"/>
      <c r="I39" s="39"/>
      <c r="J39" s="77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77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26"/>
      <c r="AL39" s="81"/>
      <c r="AM39" s="81"/>
      <c r="AN39" s="81"/>
      <c r="AO39" s="81"/>
      <c r="AP39" s="81"/>
      <c r="AQ39" s="81"/>
      <c r="AR39" s="81"/>
      <c r="AS39" s="81"/>
      <c r="AT39" s="81"/>
      <c r="AU39" s="81"/>
    </row>
    <row r="40" spans="1:50" ht="12.95" customHeight="1">
      <c r="A40" s="40" t="s">
        <v>84</v>
      </c>
      <c r="B40" s="75"/>
      <c r="C40" s="75"/>
      <c r="D40" s="41"/>
      <c r="E40" s="41"/>
      <c r="F40" s="41"/>
      <c r="G40" s="41"/>
      <c r="H40" s="41"/>
      <c r="I40" s="41"/>
      <c r="J40" s="77"/>
      <c r="K40" s="76" t="s">
        <v>85</v>
      </c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7"/>
      <c r="X40" s="76" t="s">
        <v>86</v>
      </c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26"/>
      <c r="AL40" s="76" t="s">
        <v>87</v>
      </c>
      <c r="AM40" s="76"/>
      <c r="AN40" s="76"/>
      <c r="AO40" s="76"/>
      <c r="AP40" s="76"/>
      <c r="AQ40" s="76"/>
      <c r="AR40" s="76"/>
      <c r="AS40" s="76"/>
      <c r="AT40" s="76"/>
      <c r="AU40" s="76"/>
    </row>
    <row r="41" spans="1:50" ht="12.95" customHeight="1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77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26"/>
      <c r="AL41" s="94"/>
      <c r="AM41" s="94"/>
      <c r="AN41" s="94"/>
      <c r="AO41" s="94"/>
      <c r="AP41" s="94"/>
      <c r="AQ41" s="94"/>
      <c r="AR41" s="94"/>
      <c r="AS41" s="94"/>
      <c r="AT41" s="94"/>
      <c r="AU41" s="94"/>
    </row>
    <row r="42" spans="1:50" ht="12.95" customHeight="1">
      <c r="A42" s="78" t="s">
        <v>88</v>
      </c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</row>
    <row r="43" spans="1:50" ht="12.95" customHeight="1">
      <c r="A43" s="74" t="s">
        <v>89</v>
      </c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</row>
  </sheetData>
  <sheetProtection selectLockedCells="1" selectUnlockedCells="1"/>
  <mergeCells count="36">
    <mergeCell ref="B8:C8"/>
    <mergeCell ref="A2:A3"/>
    <mergeCell ref="B2:B3"/>
    <mergeCell ref="D2:O2"/>
    <mergeCell ref="P2:AQ2"/>
    <mergeCell ref="BC2:BC3"/>
    <mergeCell ref="B23:C23"/>
    <mergeCell ref="AX2:AX3"/>
    <mergeCell ref="BA2:BA3"/>
    <mergeCell ref="AR2:AR3"/>
    <mergeCell ref="B4:C4"/>
    <mergeCell ref="B5:C5"/>
    <mergeCell ref="B6:C6"/>
    <mergeCell ref="B26:C26"/>
    <mergeCell ref="B9:C9"/>
    <mergeCell ref="AS2:AS3"/>
    <mergeCell ref="AT2:AT3"/>
    <mergeCell ref="AU2:AU3"/>
    <mergeCell ref="AW2:AW3"/>
    <mergeCell ref="B30:C30"/>
    <mergeCell ref="B33:C33"/>
    <mergeCell ref="A35:AU35"/>
    <mergeCell ref="A37:I38"/>
    <mergeCell ref="J37:J41"/>
    <mergeCell ref="K37:V39"/>
    <mergeCell ref="W37:W41"/>
    <mergeCell ref="X37:AJ39"/>
    <mergeCell ref="AL37:AU39"/>
    <mergeCell ref="B39:C39"/>
    <mergeCell ref="A43:AU43"/>
    <mergeCell ref="B40:C40"/>
    <mergeCell ref="K40:V41"/>
    <mergeCell ref="X40:AJ41"/>
    <mergeCell ref="AL40:AU41"/>
    <mergeCell ref="A41:I41"/>
    <mergeCell ref="A42:AU42"/>
  </mergeCells>
  <conditionalFormatting sqref="AX1:AX2 AX4:AX65536 BA2:BA3 BC2:BC3">
    <cfRule type="expression" dxfId="1" priority="1" stopIfTrue="1">
      <formula>NOT(ISERROR(SEARCH("NORMAL",AX1)))</formula>
    </cfRule>
    <cfRule type="expression" dxfId="0" priority="2" stopIfTrue="1">
      <formula>NOT(ISERROR(SEARCH("ESTOURADO",AX1)))</formula>
    </cfRule>
  </conditionalFormatting>
  <printOptions horizontalCentered="1" verticalCentered="1"/>
  <pageMargins left="0" right="0" top="0" bottom="0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2023-09-04T17:51:49Z</dcterms:created>
  <dcterms:modified xsi:type="dcterms:W3CDTF">2023-09-04T18:09:45Z</dcterms:modified>
  <cp:category/>
  <cp:contentStatus/>
</cp:coreProperties>
</file>