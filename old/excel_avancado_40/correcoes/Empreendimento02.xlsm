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"/>
    </mc:Choice>
  </mc:AlternateContent>
  <xr:revisionPtr revIDLastSave="0" documentId="13_ncr:1_{CB7548BC-7BCE-4717-B51A-1FB7DB4AA4DC}" xr6:coauthVersionLast="47" xr6:coauthVersionMax="47" xr10:uidLastSave="{00000000-0000-0000-0000-000000000000}"/>
  <bookViews>
    <workbookView xWindow="-120" yWindow="-120" windowWidth="29040" windowHeight="15840" activeTab="1" xr2:uid="{A85771BC-DC35-4573-97AE-DB4DD476930D}"/>
  </bookViews>
  <sheets>
    <sheet name="produtos" sheetId="1" r:id="rId1"/>
    <sheet name="negocios" sheetId="2" r:id="rId2"/>
    <sheet name="resultados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2" l="1"/>
  <c r="B5" i="2" s="1"/>
  <c r="D5" i="2" s="1"/>
  <c r="A6" i="2"/>
  <c r="C6" i="2" s="1"/>
  <c r="A7" i="2"/>
  <c r="B7" i="2" s="1"/>
  <c r="D7" i="2" s="1"/>
  <c r="A8" i="2"/>
  <c r="C8" i="2" s="1"/>
  <c r="A9" i="2"/>
  <c r="C9" i="2" s="1"/>
  <c r="A10" i="2"/>
  <c r="B10" i="2" s="1"/>
  <c r="D10" i="2" s="1"/>
  <c r="A11" i="2"/>
  <c r="B11" i="2" s="1"/>
  <c r="D11" i="2" s="1"/>
  <c r="A12" i="2"/>
  <c r="B12" i="2" s="1"/>
  <c r="D12" i="2" s="1"/>
  <c r="A13" i="2"/>
  <c r="B13" i="2" s="1"/>
  <c r="D13" i="2" s="1"/>
  <c r="C14" i="2"/>
  <c r="B15" i="2"/>
  <c r="D15" i="2" s="1"/>
  <c r="C16" i="2"/>
  <c r="B17" i="2"/>
  <c r="D17" i="2" s="1"/>
  <c r="C18" i="2"/>
  <c r="B19" i="2"/>
  <c r="D19" i="2" s="1"/>
  <c r="A4" i="2"/>
  <c r="B4" i="2" s="1"/>
  <c r="E4" i="2" s="1"/>
  <c r="B20" i="2"/>
  <c r="D20" i="2" s="1"/>
  <c r="B21" i="2"/>
  <c r="D21" i="2" s="1"/>
  <c r="F26" i="2"/>
  <c r="C7" i="2" l="1"/>
  <c r="C20" i="2"/>
  <c r="C19" i="2"/>
  <c r="C11" i="2"/>
  <c r="B9" i="2"/>
  <c r="D9" i="2" s="1"/>
  <c r="B16" i="2"/>
  <c r="D16" i="2" s="1"/>
  <c r="C15" i="2"/>
  <c r="C21" i="2"/>
  <c r="C10" i="2"/>
  <c r="B18" i="2"/>
  <c r="D18" i="2" s="1"/>
  <c r="B8" i="2"/>
  <c r="D8" i="2" s="1"/>
  <c r="B14" i="2"/>
  <c r="D14" i="2" s="1"/>
  <c r="C13" i="2"/>
  <c r="C17" i="2"/>
  <c r="B6" i="2"/>
  <c r="D6" i="2" s="1"/>
  <c r="C5" i="2"/>
  <c r="C12" i="2"/>
  <c r="C4" i="2"/>
  <c r="F25" i="2"/>
  <c r="E20" i="2"/>
  <c r="F20" i="2" s="1"/>
  <c r="E12" i="2"/>
  <c r="F12" i="2" s="1"/>
  <c r="E19" i="2"/>
  <c r="F19" i="2" s="1"/>
  <c r="E15" i="2"/>
  <c r="F15" i="2" s="1"/>
  <c r="E11" i="2"/>
  <c r="F11" i="2" s="1"/>
  <c r="E7" i="2"/>
  <c r="F7" i="2" s="1"/>
  <c r="D4" i="2"/>
  <c r="E10" i="2"/>
  <c r="F10" i="2" s="1"/>
  <c r="E21" i="2"/>
  <c r="F21" i="2" s="1"/>
  <c r="E17" i="2"/>
  <c r="F17" i="2" s="1"/>
  <c r="E13" i="2"/>
  <c r="F13" i="2" s="1"/>
  <c r="E5" i="2"/>
  <c r="F5" i="2" s="1"/>
  <c r="E9" i="2" l="1"/>
  <c r="F9" i="2" s="1"/>
  <c r="E8" i="2"/>
  <c r="F8" i="2" s="1"/>
  <c r="E16" i="2"/>
  <c r="F16" i="2" s="1"/>
  <c r="E18" i="2"/>
  <c r="F18" i="2" s="1"/>
  <c r="E6" i="2"/>
  <c r="F6" i="2" s="1"/>
  <c r="F22" i="2"/>
  <c r="E14" i="2"/>
  <c r="F14" i="2" s="1"/>
  <c r="F4" i="2"/>
  <c r="F23" i="2" l="1"/>
  <c r="F24" i="2"/>
</calcChain>
</file>

<file path=xl/sharedStrings.xml><?xml version="1.0" encoding="utf-8"?>
<sst xmlns="http://schemas.openxmlformats.org/spreadsheetml/2006/main" count="120" uniqueCount="51">
  <si>
    <t>Sistema - Registro de pedidos Loja de Roupas</t>
  </si>
  <si>
    <t>Produtos</t>
  </si>
  <si>
    <t>Custo</t>
  </si>
  <si>
    <t>Valor</t>
  </si>
  <si>
    <t>Vestido floral curto</t>
  </si>
  <si>
    <t>Blusa de alças básica</t>
  </si>
  <si>
    <t>Calça jeans skinny</t>
  </si>
  <si>
    <t>Casaco de lã oversized</t>
  </si>
  <si>
    <t>Saia midi plissada</t>
  </si>
  <si>
    <t>Blazer de linho</t>
  </si>
  <si>
    <t>Camiseta estampada</t>
  </si>
  <si>
    <t>Macacão pantacourt</t>
  </si>
  <si>
    <t>Jaqueta de couro sintético</t>
  </si>
  <si>
    <t>Conjunto de moletom (blusa e calça)</t>
  </si>
  <si>
    <t>Tipo</t>
  </si>
  <si>
    <t>Roupas Feminina</t>
  </si>
  <si>
    <t>Camiseta básica de manga longa</t>
  </si>
  <si>
    <t>Calça chino slim</t>
  </si>
  <si>
    <t>Suéter de tricô</t>
  </si>
  <si>
    <t>Jaqueta corta-vento</t>
  </si>
  <si>
    <t>Calça jeans reta</t>
  </si>
  <si>
    <t>Camiseta polo</t>
  </si>
  <si>
    <t>Moletom com capuz</t>
  </si>
  <si>
    <t>Bermuda cargo</t>
  </si>
  <si>
    <t>Blusa de frio com zíper</t>
  </si>
  <si>
    <t>Roupas Masculina</t>
  </si>
  <si>
    <t>Camisa social listrada</t>
  </si>
  <si>
    <t>Cinto de couro</t>
  </si>
  <si>
    <t>Lenço estampado</t>
  </si>
  <si>
    <t>Boné de baseball</t>
  </si>
  <si>
    <t>Bolsa tiracolo</t>
  </si>
  <si>
    <t>Relógio analógico</t>
  </si>
  <si>
    <t>Óculos de sol aviador</t>
  </si>
  <si>
    <t>Pulseira de couro com detalhes em metal</t>
  </si>
  <si>
    <t>Chapéu de feltro</t>
  </si>
  <si>
    <t>Mochila urbana</t>
  </si>
  <si>
    <t>Tênis casual de lona</t>
  </si>
  <si>
    <t>Acessórios</t>
  </si>
  <si>
    <t>Negócios</t>
  </si>
  <si>
    <t>Data</t>
  </si>
  <si>
    <t>Preço</t>
  </si>
  <si>
    <t>Ganho</t>
  </si>
  <si>
    <t>Custo Total</t>
  </si>
  <si>
    <t>Faturamento Total</t>
  </si>
  <si>
    <t>Ganho Total</t>
  </si>
  <si>
    <t>Quantidade de Produtos Vendidos</t>
  </si>
  <si>
    <t>Dados</t>
  </si>
  <si>
    <t>Faturamento</t>
  </si>
  <si>
    <t>Quantidade</t>
  </si>
  <si>
    <t>Tipos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</si>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</sst>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7" tint="0.79998168889431442"/>
      <name val="Calibri"/>
      <family val="2"/>
      <scheme val="minor"/>
    </font>
    <font>
      <sz val="24"/>
      <color theme="7" tint="-0.499984740745262"/>
      <name val="Calibri"/>
      <family val="2"/>
      <scheme val="minor"/>
    </font>
    <font>
      <b/>
      <sz val="14"/>
      <color theme="7" tint="0.79998168889431442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8" fontId="0" fillId="0" borderId="0" xfId="0" applyNumberFormat="1"/>
    <xf numFmtId="44" fontId="0" fillId="0" borderId="0" xfId="1" applyFont="1"/>
    <xf numFmtId="0" fontId="0" fillId="2" borderId="0" xfId="0" applyFill="1"/>
    <xf numFmtId="0" fontId="2" fillId="2" borderId="0" xfId="0" applyFont="1" applyFill="1"/>
    <xf numFmtId="0" fontId="3" fillId="3" borderId="0" xfId="0" applyFont="1" applyFill="1"/>
    <xf numFmtId="0" fontId="4" fillId="2" borderId="0" xfId="0" applyFont="1" applyFill="1"/>
    <xf numFmtId="0" fontId="5" fillId="3" borderId="1" xfId="0" applyFont="1" applyFill="1" applyBorder="1" applyAlignment="1">
      <alignment horizontal="center"/>
    </xf>
    <xf numFmtId="44" fontId="5" fillId="3" borderId="1" xfId="1" applyFont="1" applyFill="1" applyBorder="1"/>
    <xf numFmtId="44" fontId="5" fillId="3" borderId="2" xfId="1" applyFont="1" applyFill="1" applyBorder="1"/>
    <xf numFmtId="14" fontId="5" fillId="3" borderId="1" xfId="0" applyNumberFormat="1" applyFont="1" applyFill="1" applyBorder="1"/>
    <xf numFmtId="44" fontId="0" fillId="0" borderId="4" xfId="1" applyFont="1" applyBorder="1"/>
    <xf numFmtId="49" fontId="0" fillId="0" borderId="4" xfId="0" applyNumberFormat="1" applyBorder="1"/>
    <xf numFmtId="0" fontId="0" fillId="0" borderId="0" xfId="0" applyProtection="1">
      <protection locked="0"/>
    </xf>
    <xf numFmtId="44" fontId="0" fillId="0" borderId="4" xfId="1" applyFont="1" applyBorder="1" applyProtection="1"/>
    <xf numFmtId="44" fontId="0" fillId="0" borderId="4" xfId="0" applyNumberFormat="1" applyBorder="1"/>
    <xf numFmtId="22" fontId="0" fillId="0" borderId="0" xfId="0" applyNumberFormat="1"/>
    <xf numFmtId="0" fontId="2" fillId="2" borderId="0" xfId="0" applyFont="1" applyFill="1" applyAlignment="1">
      <alignment horizontal="left"/>
    </xf>
    <xf numFmtId="0" fontId="4" fillId="2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293077</xdr:colOff>
      <xdr:row>2</xdr:row>
      <xdr:rowOff>117230</xdr:rowOff>
    </xdr:from>
    <xdr:to>
      <xdr:col>9</xdr:col>
      <xdr:colOff>175846</xdr:colOff>
      <xdr:row>3</xdr:row>
      <xdr:rowOff>168519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CCB09462-E7EA-1503-7104-76B3629CEC15}"/>
            </a:ext>
          </a:extLst>
        </xdr:cNvPr>
        <xdr:cNvSpPr/>
      </xdr:nvSpPr>
      <xdr:spPr>
        <a:xfrm>
          <a:off x="5978769" y="923192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6</xdr:col>
      <xdr:colOff>293077</xdr:colOff>
      <xdr:row>4</xdr:row>
      <xdr:rowOff>21980</xdr:rowOff>
    </xdr:from>
    <xdr:to>
      <xdr:col>9</xdr:col>
      <xdr:colOff>175846</xdr:colOff>
      <xdr:row>5</xdr:row>
      <xdr:rowOff>124557</xdr:rowOff>
    </xdr:to>
    <xdr:sp macro="[0]!Registrar" textlink="">
      <xdr:nvSpPr>
        <xdr:cNvPr id="3" name="Retângulo 2">
          <a:extLst>
            <a:ext uri="{FF2B5EF4-FFF2-40B4-BE49-F238E27FC236}">
              <a16:creationId xmlns:a16="http://schemas.microsoft.com/office/drawing/2014/main" id="{2E154BAE-FE81-BD6A-F195-528C7DA35D10}"/>
            </a:ext>
          </a:extLst>
        </xdr:cNvPr>
        <xdr:cNvSpPr/>
      </xdr:nvSpPr>
      <xdr:spPr>
        <a:xfrm>
          <a:off x="5978769" y="1260230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Registrar</a:t>
          </a:r>
          <a:r>
            <a:rPr lang="pt-BR" sz="1100" b="1" baseline="0"/>
            <a:t> Resultados</a:t>
          </a:r>
          <a:endParaRPr lang="pt-BR" sz="1100" b="1"/>
        </a:p>
      </xdr:txBody>
    </xdr:sp>
    <xdr:clientData/>
  </xdr:twoCellAnchor>
  <xdr:twoCellAnchor>
    <xdr:from>
      <xdr:col>6</xdr:col>
      <xdr:colOff>293077</xdr:colOff>
      <xdr:row>11</xdr:row>
      <xdr:rowOff>175846</xdr:rowOff>
    </xdr:from>
    <xdr:to>
      <xdr:col>9</xdr:col>
      <xdr:colOff>175846</xdr:colOff>
      <xdr:row>13</xdr:row>
      <xdr:rowOff>87923</xdr:rowOff>
    </xdr:to>
    <xdr:sp macro="[0]!Gerar" textlink="">
      <xdr:nvSpPr>
        <xdr:cNvPr id="4" name="Retângulo 3">
          <a:extLst>
            <a:ext uri="{FF2B5EF4-FFF2-40B4-BE49-F238E27FC236}">
              <a16:creationId xmlns:a16="http://schemas.microsoft.com/office/drawing/2014/main" id="{8056B313-BCB4-8353-8CBF-48516C941D2E}"/>
            </a:ext>
          </a:extLst>
        </xdr:cNvPr>
        <xdr:cNvSpPr/>
      </xdr:nvSpPr>
      <xdr:spPr>
        <a:xfrm>
          <a:off x="6337789" y="2747596"/>
          <a:ext cx="1707172" cy="293077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Gerar dados aleatorios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DE18-CA0B-4912-9B78-023045666D4F}">
  <sheetPr codeName="Planilha1"/>
  <dimension ref="A1:J34"/>
  <sheetViews>
    <sheetView showGridLines="0" topLeftCell="A2" zoomScale="115" zoomScaleNormal="115" workbookViewId="0">
      <selection activeCell="G15" sqref="G15"/>
    </sheetView>
  </sheetViews>
  <sheetFormatPr defaultRowHeight="15" x14ac:dyDescent="0.25"/>
  <cols>
    <col min="1" max="1" width="38.42578125" bestFit="1" customWidth="1"/>
    <col min="2" max="2" width="11.140625" bestFit="1" customWidth="1"/>
    <col min="3" max="3" width="16.85546875" bestFit="1" customWidth="1"/>
    <col min="5" max="5" width="16.85546875" bestFit="1" customWidth="1"/>
  </cols>
  <sheetData>
    <row r="1" spans="1:10" s="4" customFormat="1" ht="31.5" x14ac:dyDescent="0.5">
      <c r="A1" s="17" t="s">
        <v>0</v>
      </c>
      <c r="B1" s="17"/>
      <c r="C1" s="17"/>
      <c r="D1" s="17"/>
      <c r="E1" s="17"/>
      <c r="F1" s="17"/>
      <c r="G1" s="17"/>
      <c r="H1" s="17"/>
      <c r="I1" s="17"/>
      <c r="J1" s="17"/>
    </row>
    <row r="2" spans="1:10" s="5" customFormat="1" ht="31.5" x14ac:dyDescent="0.5">
      <c r="A2" s="5" t="s">
        <v>1</v>
      </c>
    </row>
    <row r="3" spans="1:10" ht="18.75" x14ac:dyDescent="0.3">
      <c r="A3" s="6" t="s">
        <v>1</v>
      </c>
      <c r="B3" s="6" t="s">
        <v>3</v>
      </c>
      <c r="C3" s="6" t="s">
        <v>14</v>
      </c>
      <c r="E3" s="6" t="s">
        <v>49</v>
      </c>
    </row>
    <row r="4" spans="1:10" x14ac:dyDescent="0.25">
      <c r="A4">
        <v>0</v>
      </c>
      <c r="B4" s="2">
        <v>0</v>
      </c>
      <c r="C4" t="s">
        <v>50</v>
      </c>
      <c r="E4" s="1" t="s">
        <v>25</v>
      </c>
    </row>
    <row r="5" spans="1:10" x14ac:dyDescent="0.25">
      <c r="A5" t="s">
        <v>23</v>
      </c>
      <c r="B5" s="2">
        <v>39.99</v>
      </c>
      <c r="C5" s="1" t="s">
        <v>25</v>
      </c>
      <c r="E5" s="1" t="s">
        <v>15</v>
      </c>
    </row>
    <row r="6" spans="1:10" x14ac:dyDescent="0.25">
      <c r="A6" t="s">
        <v>9</v>
      </c>
      <c r="B6" s="2">
        <v>79.989999999999995</v>
      </c>
      <c r="C6" s="1" t="s">
        <v>15</v>
      </c>
      <c r="E6" s="1" t="s">
        <v>37</v>
      </c>
    </row>
    <row r="7" spans="1:10" x14ac:dyDescent="0.25">
      <c r="A7" t="s">
        <v>5</v>
      </c>
      <c r="B7" s="2">
        <v>19.989999999999998</v>
      </c>
      <c r="C7" s="1" t="s">
        <v>15</v>
      </c>
    </row>
    <row r="8" spans="1:10" x14ac:dyDescent="0.25">
      <c r="A8" t="s">
        <v>24</v>
      </c>
      <c r="B8" s="2">
        <v>44.99</v>
      </c>
      <c r="C8" s="1" t="s">
        <v>25</v>
      </c>
    </row>
    <row r="9" spans="1:10" x14ac:dyDescent="0.25">
      <c r="A9" t="s">
        <v>30</v>
      </c>
      <c r="B9" s="2">
        <v>49.99</v>
      </c>
      <c r="C9" s="1" t="s">
        <v>37</v>
      </c>
    </row>
    <row r="10" spans="1:10" x14ac:dyDescent="0.25">
      <c r="A10" t="s">
        <v>29</v>
      </c>
      <c r="B10" s="2">
        <v>19.989999999999998</v>
      </c>
      <c r="C10" s="1" t="s">
        <v>37</v>
      </c>
    </row>
    <row r="11" spans="1:10" x14ac:dyDescent="0.25">
      <c r="A11" t="s">
        <v>17</v>
      </c>
      <c r="B11" s="2">
        <v>49.99</v>
      </c>
      <c r="C11" s="1" t="s">
        <v>25</v>
      </c>
    </row>
    <row r="12" spans="1:10" x14ac:dyDescent="0.25">
      <c r="A12" t="s">
        <v>20</v>
      </c>
      <c r="B12" s="2">
        <v>59.99</v>
      </c>
      <c r="C12" s="1" t="s">
        <v>25</v>
      </c>
    </row>
    <row r="13" spans="1:10" x14ac:dyDescent="0.25">
      <c r="A13" t="s">
        <v>6</v>
      </c>
      <c r="B13" s="2">
        <v>69.989999999999995</v>
      </c>
      <c r="C13" s="1" t="s">
        <v>15</v>
      </c>
    </row>
    <row r="14" spans="1:10" x14ac:dyDescent="0.25">
      <c r="A14" t="s">
        <v>26</v>
      </c>
      <c r="B14" s="2">
        <v>59.99</v>
      </c>
      <c r="C14" s="1" t="s">
        <v>25</v>
      </c>
    </row>
    <row r="15" spans="1:10" x14ac:dyDescent="0.25">
      <c r="A15" t="s">
        <v>16</v>
      </c>
      <c r="B15" s="2">
        <v>29.99</v>
      </c>
      <c r="C15" s="1" t="s">
        <v>25</v>
      </c>
    </row>
    <row r="16" spans="1:10" x14ac:dyDescent="0.25">
      <c r="A16" t="s">
        <v>10</v>
      </c>
      <c r="B16" s="2">
        <v>24.99</v>
      </c>
      <c r="C16" s="1" t="s">
        <v>15</v>
      </c>
    </row>
    <row r="17" spans="1:3" x14ac:dyDescent="0.25">
      <c r="A17" t="s">
        <v>21</v>
      </c>
      <c r="B17" s="2">
        <v>34.99</v>
      </c>
      <c r="C17" s="1" t="s">
        <v>25</v>
      </c>
    </row>
    <row r="18" spans="1:3" x14ac:dyDescent="0.25">
      <c r="A18" t="s">
        <v>7</v>
      </c>
      <c r="B18" s="2">
        <v>129.99</v>
      </c>
      <c r="C18" s="1" t="s">
        <v>15</v>
      </c>
    </row>
    <row r="19" spans="1:3" x14ac:dyDescent="0.25">
      <c r="A19" t="s">
        <v>34</v>
      </c>
      <c r="B19" s="2">
        <v>39.99</v>
      </c>
      <c r="C19" s="1" t="s">
        <v>37</v>
      </c>
    </row>
    <row r="20" spans="1:3" x14ac:dyDescent="0.25">
      <c r="A20" t="s">
        <v>27</v>
      </c>
      <c r="B20" s="2">
        <v>29.99</v>
      </c>
      <c r="C20" s="1" t="s">
        <v>37</v>
      </c>
    </row>
    <row r="21" spans="1:3" x14ac:dyDescent="0.25">
      <c r="A21" t="s">
        <v>13</v>
      </c>
      <c r="B21" s="2">
        <v>79.989999999999995</v>
      </c>
      <c r="C21" s="1" t="s">
        <v>15</v>
      </c>
    </row>
    <row r="22" spans="1:3" x14ac:dyDescent="0.25">
      <c r="A22" t="s">
        <v>19</v>
      </c>
      <c r="B22" s="2">
        <v>69.989999999999995</v>
      </c>
      <c r="C22" s="1" t="s">
        <v>25</v>
      </c>
    </row>
    <row r="23" spans="1:3" x14ac:dyDescent="0.25">
      <c r="A23" t="s">
        <v>12</v>
      </c>
      <c r="B23" s="2">
        <v>89.99</v>
      </c>
      <c r="C23" s="1" t="s">
        <v>15</v>
      </c>
    </row>
    <row r="24" spans="1:3" x14ac:dyDescent="0.25">
      <c r="A24" t="s">
        <v>28</v>
      </c>
      <c r="B24" s="2">
        <v>14.99</v>
      </c>
      <c r="C24" s="1" t="s">
        <v>37</v>
      </c>
    </row>
    <row r="25" spans="1:3" x14ac:dyDescent="0.25">
      <c r="A25" t="s">
        <v>11</v>
      </c>
      <c r="B25" s="2">
        <v>109.99</v>
      </c>
      <c r="C25" s="1" t="s">
        <v>15</v>
      </c>
    </row>
    <row r="26" spans="1:3" x14ac:dyDescent="0.25">
      <c r="A26" t="s">
        <v>35</v>
      </c>
      <c r="B26" s="2">
        <v>59.99</v>
      </c>
      <c r="C26" s="1" t="s">
        <v>37</v>
      </c>
    </row>
    <row r="27" spans="1:3" x14ac:dyDescent="0.25">
      <c r="A27" t="s">
        <v>22</v>
      </c>
      <c r="B27" s="2">
        <v>49.99</v>
      </c>
      <c r="C27" s="1" t="s">
        <v>25</v>
      </c>
    </row>
    <row r="28" spans="1:3" x14ac:dyDescent="0.25">
      <c r="A28" t="s">
        <v>32</v>
      </c>
      <c r="B28" s="2">
        <v>79.989999999999995</v>
      </c>
      <c r="C28" s="1" t="s">
        <v>37</v>
      </c>
    </row>
    <row r="29" spans="1:3" x14ac:dyDescent="0.25">
      <c r="A29" t="s">
        <v>33</v>
      </c>
      <c r="B29" s="2">
        <v>24.99</v>
      </c>
      <c r="C29" s="1" t="s">
        <v>37</v>
      </c>
    </row>
    <row r="30" spans="1:3" x14ac:dyDescent="0.25">
      <c r="A30" t="s">
        <v>31</v>
      </c>
      <c r="B30" s="2">
        <v>89.99</v>
      </c>
      <c r="C30" s="1" t="s">
        <v>37</v>
      </c>
    </row>
    <row r="31" spans="1:3" x14ac:dyDescent="0.25">
      <c r="A31" t="s">
        <v>8</v>
      </c>
      <c r="B31" s="2">
        <v>59.99</v>
      </c>
      <c r="C31" s="1" t="s">
        <v>15</v>
      </c>
    </row>
    <row r="32" spans="1:3" x14ac:dyDescent="0.25">
      <c r="A32" t="s">
        <v>18</v>
      </c>
      <c r="B32" s="2">
        <v>39.99</v>
      </c>
      <c r="C32" s="1" t="s">
        <v>25</v>
      </c>
    </row>
    <row r="33" spans="1:3" x14ac:dyDescent="0.25">
      <c r="A33" t="s">
        <v>36</v>
      </c>
      <c r="B33" s="2">
        <v>69.989999999999995</v>
      </c>
      <c r="C33" s="1" t="s">
        <v>37</v>
      </c>
    </row>
    <row r="34" spans="1:3" x14ac:dyDescent="0.25">
      <c r="A34" t="s">
        <v>4</v>
      </c>
      <c r="B34" s="2">
        <v>89.99</v>
      </c>
      <c r="C34" s="1" t="s">
        <v>15</v>
      </c>
    </row>
  </sheetData>
  <sortState xmlns:xlrd2="http://schemas.microsoft.com/office/spreadsheetml/2017/richdata2" ref="A5:C34">
    <sortCondition ref="A5:A34"/>
  </sortState>
  <mergeCells count="1">
    <mergeCell ref="A1:J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4274-730E-4E9D-8EAD-EBC4C95210B6}">
  <sheetPr codeName="Planilha2"/>
  <dimension ref="A1:Q32"/>
  <sheetViews>
    <sheetView showGridLines="0" tabSelected="1" zoomScale="130" zoomScaleNormal="130" workbookViewId="0">
      <selection activeCell="A4" sqref="A4"/>
    </sheetView>
  </sheetViews>
  <sheetFormatPr defaultRowHeight="15" x14ac:dyDescent="0.25"/>
  <cols>
    <col min="1" max="1" width="24.42578125" customWidth="1"/>
    <col min="2" max="2" width="11.42578125" customWidth="1"/>
    <col min="3" max="3" width="16.85546875" bestFit="1" customWidth="1"/>
    <col min="4" max="5" width="11.42578125" customWidth="1"/>
    <col min="6" max="6" width="15.140625" bestFit="1" customWidth="1"/>
  </cols>
  <sheetData>
    <row r="1" spans="1:17" s="3" customFormat="1" ht="31.5" x14ac:dyDescent="0.5">
      <c r="A1" s="17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7" s="5" customFormat="1" ht="31.5" x14ac:dyDescent="0.5">
      <c r="A2" s="5" t="s">
        <v>38</v>
      </c>
    </row>
    <row r="3" spans="1:17" ht="18.75" x14ac:dyDescent="0.3">
      <c r="A3" s="6" t="s">
        <v>1</v>
      </c>
      <c r="B3" s="6" t="s">
        <v>3</v>
      </c>
      <c r="C3" s="6" t="s">
        <v>14</v>
      </c>
      <c r="D3" s="6" t="s">
        <v>2</v>
      </c>
      <c r="E3" s="6" t="s">
        <v>40</v>
      </c>
      <c r="F3" s="6" t="s">
        <v>41</v>
      </c>
      <c r="P3">
        <v>1</v>
      </c>
      <c r="Q3" t="s">
        <v>23</v>
      </c>
    </row>
    <row r="4" spans="1:17" x14ac:dyDescent="0.25">
      <c r="A4" s="13" t="str">
        <f ca="1">VLOOKUP(RANDBETWEEN(1,30),$P$3:$Q$32,2,0)</f>
        <v>Vestido floral curto</v>
      </c>
      <c r="B4" s="11">
        <f ca="1">VLOOKUP(A4,produtos!$A$4:$C$34,2,0)</f>
        <v>89.99</v>
      </c>
      <c r="C4" s="12" t="str">
        <f ca="1">VLOOKUP(A4,produtos!$A$4:$C$34,3,0)</f>
        <v>Roupas Feminina</v>
      </c>
      <c r="D4" s="14">
        <f ca="1">RANDBETWEEN(B4-B4*50%,B4)</f>
        <v>63</v>
      </c>
      <c r="E4" s="14">
        <f ca="1">RANDBETWEEN(B4,B4+B4*100%)</f>
        <v>101</v>
      </c>
      <c r="F4" s="15">
        <f ca="1">E4-D4</f>
        <v>38</v>
      </c>
      <c r="P4">
        <v>2</v>
      </c>
      <c r="Q4" t="s">
        <v>9</v>
      </c>
    </row>
    <row r="5" spans="1:17" x14ac:dyDescent="0.25">
      <c r="A5" s="13" t="str">
        <f t="shared" ref="A5:A13" ca="1" si="0">VLOOKUP(RANDBETWEEN(1,30),$P$3:$Q$32,2,0)</f>
        <v>Lenço estampado</v>
      </c>
      <c r="B5" s="11">
        <f ca="1">VLOOKUP(A5,produtos!$A$4:$C$34,2,0)</f>
        <v>14.99</v>
      </c>
      <c r="C5" s="12" t="str">
        <f ca="1">VLOOKUP(A5,produtos!$A$4:$C$34,3,0)</f>
        <v>Acessórios</v>
      </c>
      <c r="D5" s="14">
        <f t="shared" ref="D5:D21" ca="1" si="1">RANDBETWEEN(B5-B5*50%,B5)</f>
        <v>12</v>
      </c>
      <c r="E5" s="14">
        <f t="shared" ref="E5:E21" ca="1" si="2">RANDBETWEEN(B5,B5+B5*100%)</f>
        <v>20</v>
      </c>
      <c r="F5" s="15">
        <f t="shared" ref="F5:F21" ca="1" si="3">E5-D5</f>
        <v>8</v>
      </c>
      <c r="P5">
        <v>3</v>
      </c>
      <c r="Q5" t="s">
        <v>5</v>
      </c>
    </row>
    <row r="6" spans="1:17" x14ac:dyDescent="0.25">
      <c r="A6" s="13" t="str">
        <f t="shared" ca="1" si="0"/>
        <v>Lenço estampado</v>
      </c>
      <c r="B6" s="11">
        <f ca="1">VLOOKUP(A6,produtos!$A$4:$C$34,2,0)</f>
        <v>14.99</v>
      </c>
      <c r="C6" s="12" t="str">
        <f ca="1">VLOOKUP(A6,produtos!$A$4:$C$34,3,0)</f>
        <v>Acessórios</v>
      </c>
      <c r="D6" s="14">
        <f t="shared" ca="1" si="1"/>
        <v>10</v>
      </c>
      <c r="E6" s="14">
        <f t="shared" ca="1" si="2"/>
        <v>24</v>
      </c>
      <c r="F6" s="15">
        <f t="shared" ca="1" si="3"/>
        <v>14</v>
      </c>
      <c r="P6">
        <v>4</v>
      </c>
      <c r="Q6" t="s">
        <v>24</v>
      </c>
    </row>
    <row r="7" spans="1:17" x14ac:dyDescent="0.25">
      <c r="A7" s="13" t="str">
        <f t="shared" ca="1" si="0"/>
        <v>Blazer de linho</v>
      </c>
      <c r="B7" s="11">
        <f ca="1">VLOOKUP(A7,produtos!$A$4:$C$34,2,0)</f>
        <v>79.989999999999995</v>
      </c>
      <c r="C7" s="12" t="str">
        <f ca="1">VLOOKUP(A7,produtos!$A$4:$C$34,3,0)</f>
        <v>Roupas Feminina</v>
      </c>
      <c r="D7" s="14">
        <f t="shared" ca="1" si="1"/>
        <v>45</v>
      </c>
      <c r="E7" s="14">
        <f t="shared" ca="1" si="2"/>
        <v>84</v>
      </c>
      <c r="F7" s="15">
        <f t="shared" ca="1" si="3"/>
        <v>39</v>
      </c>
      <c r="P7">
        <v>5</v>
      </c>
      <c r="Q7" t="s">
        <v>30</v>
      </c>
    </row>
    <row r="8" spans="1:17" x14ac:dyDescent="0.25">
      <c r="A8" s="13" t="str">
        <f t="shared" ca="1" si="0"/>
        <v>Jaqueta corta-vento</v>
      </c>
      <c r="B8" s="11">
        <f ca="1">VLOOKUP(A8,produtos!$A$4:$C$34,2,0)</f>
        <v>69.989999999999995</v>
      </c>
      <c r="C8" s="12" t="str">
        <f ca="1">VLOOKUP(A8,produtos!$A$4:$C$34,3,0)</f>
        <v>Roupas Masculina</v>
      </c>
      <c r="D8" s="14">
        <f t="shared" ca="1" si="1"/>
        <v>46</v>
      </c>
      <c r="E8" s="14">
        <f t="shared" ca="1" si="2"/>
        <v>83</v>
      </c>
      <c r="F8" s="15">
        <f t="shared" ca="1" si="3"/>
        <v>37</v>
      </c>
      <c r="P8">
        <v>6</v>
      </c>
      <c r="Q8" t="s">
        <v>29</v>
      </c>
    </row>
    <row r="9" spans="1:17" x14ac:dyDescent="0.25">
      <c r="A9" s="13" t="str">
        <f t="shared" ca="1" si="0"/>
        <v>Casaco de lã oversized</v>
      </c>
      <c r="B9" s="11">
        <f ca="1">VLOOKUP(A9,produtos!$A$4:$C$34,2,0)</f>
        <v>129.99</v>
      </c>
      <c r="C9" s="12" t="str">
        <f ca="1">VLOOKUP(A9,produtos!$A$4:$C$34,3,0)</f>
        <v>Roupas Feminina</v>
      </c>
      <c r="D9" s="14">
        <f t="shared" ca="1" si="1"/>
        <v>88</v>
      </c>
      <c r="E9" s="14">
        <f t="shared" ca="1" si="2"/>
        <v>237</v>
      </c>
      <c r="F9" s="15">
        <f t="shared" ca="1" si="3"/>
        <v>149</v>
      </c>
      <c r="P9">
        <v>7</v>
      </c>
      <c r="Q9" t="s">
        <v>17</v>
      </c>
    </row>
    <row r="10" spans="1:17" x14ac:dyDescent="0.25">
      <c r="A10" s="13" t="str">
        <f t="shared" ca="1" si="0"/>
        <v>Calça jeans skinny</v>
      </c>
      <c r="B10" s="11">
        <f ca="1">VLOOKUP(A10,produtos!$A$4:$C$34,2,0)</f>
        <v>69.989999999999995</v>
      </c>
      <c r="C10" s="12" t="str">
        <f ca="1">VLOOKUP(A10,produtos!$A$4:$C$34,3,0)</f>
        <v>Roupas Feminina</v>
      </c>
      <c r="D10" s="14">
        <f t="shared" ca="1" si="1"/>
        <v>62</v>
      </c>
      <c r="E10" s="14">
        <f t="shared" ca="1" si="2"/>
        <v>126</v>
      </c>
      <c r="F10" s="15">
        <f t="shared" ca="1" si="3"/>
        <v>64</v>
      </c>
      <c r="P10">
        <v>8</v>
      </c>
      <c r="Q10" t="s">
        <v>20</v>
      </c>
    </row>
    <row r="11" spans="1:17" x14ac:dyDescent="0.25">
      <c r="A11" s="13" t="str">
        <f t="shared" ca="1" si="0"/>
        <v>Blazer de linho</v>
      </c>
      <c r="B11" s="11">
        <f ca="1">VLOOKUP(A11,produtos!$A$4:$C$34,2,0)</f>
        <v>79.989999999999995</v>
      </c>
      <c r="C11" s="12" t="str">
        <f ca="1">VLOOKUP(A11,produtos!$A$4:$C$34,3,0)</f>
        <v>Roupas Feminina</v>
      </c>
      <c r="D11" s="14">
        <f t="shared" ca="1" si="1"/>
        <v>73</v>
      </c>
      <c r="E11" s="14">
        <f t="shared" ca="1" si="2"/>
        <v>105</v>
      </c>
      <c r="F11" s="15">
        <f t="shared" ca="1" si="3"/>
        <v>32</v>
      </c>
      <c r="P11">
        <v>9</v>
      </c>
      <c r="Q11" t="s">
        <v>6</v>
      </c>
    </row>
    <row r="12" spans="1:17" x14ac:dyDescent="0.25">
      <c r="A12" s="13" t="str">
        <f t="shared" ca="1" si="0"/>
        <v>Bermuda cargo</v>
      </c>
      <c r="B12" s="11">
        <f ca="1">VLOOKUP(A12,produtos!$A$4:$C$34,2,0)</f>
        <v>39.99</v>
      </c>
      <c r="C12" s="12" t="str">
        <f ca="1">VLOOKUP(A12,produtos!$A$4:$C$34,3,0)</f>
        <v>Roupas Masculina</v>
      </c>
      <c r="D12" s="14">
        <f t="shared" ca="1" si="1"/>
        <v>38</v>
      </c>
      <c r="E12" s="14">
        <f t="shared" ca="1" si="2"/>
        <v>52</v>
      </c>
      <c r="F12" s="15">
        <f t="shared" ca="1" si="3"/>
        <v>14</v>
      </c>
      <c r="P12">
        <v>10</v>
      </c>
      <c r="Q12" t="s">
        <v>26</v>
      </c>
    </row>
    <row r="13" spans="1:17" x14ac:dyDescent="0.25">
      <c r="A13" s="13" t="str">
        <f t="shared" ca="1" si="0"/>
        <v>Blazer de linho</v>
      </c>
      <c r="B13" s="11">
        <f ca="1">VLOOKUP(A13,produtos!$A$4:$C$34,2,0)</f>
        <v>79.989999999999995</v>
      </c>
      <c r="C13" s="12" t="str">
        <f ca="1">VLOOKUP(A13,produtos!$A$4:$C$34,3,0)</f>
        <v>Roupas Feminina</v>
      </c>
      <c r="D13" s="14">
        <f t="shared" ca="1" si="1"/>
        <v>62</v>
      </c>
      <c r="E13" s="14">
        <f t="shared" ca="1" si="2"/>
        <v>149</v>
      </c>
      <c r="F13" s="15">
        <f t="shared" ca="1" si="3"/>
        <v>87</v>
      </c>
      <c r="P13">
        <v>11</v>
      </c>
      <c r="Q13" t="s">
        <v>16</v>
      </c>
    </row>
    <row r="14" spans="1:17" x14ac:dyDescent="0.25">
      <c r="A14" s="13"/>
      <c r="B14" s="11">
        <f>VLOOKUP(A14,produtos!$A$4:$C$34,2,0)</f>
        <v>0</v>
      </c>
      <c r="C14" s="12" t="str">
        <f>VLOOKUP(A14,produtos!$A$4:$C$34,3,0)</f>
        <v>-</v>
      </c>
      <c r="D14" s="14">
        <f t="shared" ca="1" si="1"/>
        <v>0</v>
      </c>
      <c r="E14" s="14">
        <f t="shared" ca="1" si="2"/>
        <v>0</v>
      </c>
      <c r="F14" s="15">
        <f t="shared" ca="1" si="3"/>
        <v>0</v>
      </c>
      <c r="P14">
        <v>12</v>
      </c>
      <c r="Q14" t="s">
        <v>10</v>
      </c>
    </row>
    <row r="15" spans="1:17" x14ac:dyDescent="0.25">
      <c r="A15" s="13"/>
      <c r="B15" s="11">
        <f>VLOOKUP(A15,produtos!$A$4:$C$34,2,0)</f>
        <v>0</v>
      </c>
      <c r="C15" s="12" t="str">
        <f>VLOOKUP(A15,produtos!$A$4:$C$34,3,0)</f>
        <v>-</v>
      </c>
      <c r="D15" s="14">
        <f t="shared" ca="1" si="1"/>
        <v>0</v>
      </c>
      <c r="E15" s="14">
        <f t="shared" ca="1" si="2"/>
        <v>0</v>
      </c>
      <c r="F15" s="15">
        <f t="shared" ca="1" si="3"/>
        <v>0</v>
      </c>
      <c r="P15">
        <v>13</v>
      </c>
      <c r="Q15" t="s">
        <v>21</v>
      </c>
    </row>
    <row r="16" spans="1:17" x14ac:dyDescent="0.25">
      <c r="A16" s="13"/>
      <c r="B16" s="11">
        <f>VLOOKUP(A16,produtos!$A$4:$C$34,2,0)</f>
        <v>0</v>
      </c>
      <c r="C16" s="12" t="str">
        <f>VLOOKUP(A16,produtos!$A$4:$C$34,3,0)</f>
        <v>-</v>
      </c>
      <c r="D16" s="14">
        <f t="shared" ca="1" si="1"/>
        <v>0</v>
      </c>
      <c r="E16" s="14">
        <f t="shared" ca="1" si="2"/>
        <v>0</v>
      </c>
      <c r="F16" s="15">
        <f t="shared" ca="1" si="3"/>
        <v>0</v>
      </c>
      <c r="P16">
        <v>14</v>
      </c>
      <c r="Q16" t="s">
        <v>7</v>
      </c>
    </row>
    <row r="17" spans="1:17" x14ac:dyDescent="0.25">
      <c r="A17" s="13"/>
      <c r="B17" s="11">
        <f>VLOOKUP(A17,produtos!$A$4:$C$34,2,0)</f>
        <v>0</v>
      </c>
      <c r="C17" s="12" t="str">
        <f>VLOOKUP(A17,produtos!$A$4:$C$34,3,0)</f>
        <v>-</v>
      </c>
      <c r="D17" s="14">
        <f t="shared" ca="1" si="1"/>
        <v>0</v>
      </c>
      <c r="E17" s="14">
        <f t="shared" ca="1" si="2"/>
        <v>0</v>
      </c>
      <c r="F17" s="15">
        <f t="shared" ca="1" si="3"/>
        <v>0</v>
      </c>
      <c r="P17">
        <v>15</v>
      </c>
      <c r="Q17" t="s">
        <v>34</v>
      </c>
    </row>
    <row r="18" spans="1:17" x14ac:dyDescent="0.25">
      <c r="A18" s="13"/>
      <c r="B18" s="11">
        <f>VLOOKUP(A18,produtos!$A$4:$C$34,2,0)</f>
        <v>0</v>
      </c>
      <c r="C18" s="12" t="str">
        <f>VLOOKUP(A18,produtos!$A$4:$C$34,3,0)</f>
        <v>-</v>
      </c>
      <c r="D18" s="14">
        <f t="shared" ca="1" si="1"/>
        <v>0</v>
      </c>
      <c r="E18" s="14">
        <f t="shared" ca="1" si="2"/>
        <v>0</v>
      </c>
      <c r="F18" s="15">
        <f t="shared" ca="1" si="3"/>
        <v>0</v>
      </c>
      <c r="P18">
        <v>16</v>
      </c>
      <c r="Q18" t="s">
        <v>27</v>
      </c>
    </row>
    <row r="19" spans="1:17" x14ac:dyDescent="0.25">
      <c r="A19" s="13"/>
      <c r="B19" s="11">
        <f>VLOOKUP(A19,produtos!$A$4:$C$34,2,0)</f>
        <v>0</v>
      </c>
      <c r="C19" s="12" t="str">
        <f>VLOOKUP(A19,produtos!$A$4:$C$34,3,0)</f>
        <v>-</v>
      </c>
      <c r="D19" s="14">
        <f t="shared" ca="1" si="1"/>
        <v>0</v>
      </c>
      <c r="E19" s="14">
        <f t="shared" ca="1" si="2"/>
        <v>0</v>
      </c>
      <c r="F19" s="15">
        <f t="shared" ca="1" si="3"/>
        <v>0</v>
      </c>
      <c r="P19">
        <v>17</v>
      </c>
      <c r="Q19" t="s">
        <v>13</v>
      </c>
    </row>
    <row r="20" spans="1:17" x14ac:dyDescent="0.25">
      <c r="A20" s="13"/>
      <c r="B20" s="11">
        <f>VLOOKUP(A20,produtos!$A$4:$C$34,2,0)</f>
        <v>0</v>
      </c>
      <c r="C20" s="12" t="str">
        <f>VLOOKUP(A20,produtos!$A$4:$C$34,3,0)</f>
        <v>-</v>
      </c>
      <c r="D20" s="14">
        <f t="shared" ca="1" si="1"/>
        <v>0</v>
      </c>
      <c r="E20" s="14">
        <f t="shared" ca="1" si="2"/>
        <v>0</v>
      </c>
      <c r="F20" s="15">
        <f t="shared" ca="1" si="3"/>
        <v>0</v>
      </c>
      <c r="P20">
        <v>18</v>
      </c>
      <c r="Q20" t="s">
        <v>19</v>
      </c>
    </row>
    <row r="21" spans="1:17" x14ac:dyDescent="0.25">
      <c r="A21" s="13"/>
      <c r="B21" s="11">
        <f>VLOOKUP(A21,produtos!$A$4:$C$34,2,0)</f>
        <v>0</v>
      </c>
      <c r="C21" s="12" t="str">
        <f>VLOOKUP(A21,produtos!$A$4:$C$34,3,0)</f>
        <v>-</v>
      </c>
      <c r="D21" s="14">
        <f t="shared" ca="1" si="1"/>
        <v>0</v>
      </c>
      <c r="E21" s="14">
        <f t="shared" ca="1" si="2"/>
        <v>0</v>
      </c>
      <c r="F21" s="15">
        <f t="shared" ca="1" si="3"/>
        <v>0</v>
      </c>
      <c r="P21">
        <v>19</v>
      </c>
      <c r="Q21" t="s">
        <v>12</v>
      </c>
    </row>
    <row r="22" spans="1:17" ht="18.75" x14ac:dyDescent="0.3">
      <c r="A22" s="18" t="s">
        <v>42</v>
      </c>
      <c r="B22" s="18"/>
      <c r="C22" s="18"/>
      <c r="D22" s="18"/>
      <c r="E22" s="18"/>
      <c r="F22" s="8">
        <f ca="1">SUM(D4:D21)</f>
        <v>499</v>
      </c>
      <c r="P22">
        <v>20</v>
      </c>
      <c r="Q22" t="s">
        <v>28</v>
      </c>
    </row>
    <row r="23" spans="1:17" ht="18.75" x14ac:dyDescent="0.3">
      <c r="A23" s="18" t="s">
        <v>43</v>
      </c>
      <c r="B23" s="18"/>
      <c r="C23" s="18"/>
      <c r="D23" s="18"/>
      <c r="E23" s="18"/>
      <c r="F23" s="9">
        <f ca="1">SUM(E4:E21)</f>
        <v>981</v>
      </c>
      <c r="P23">
        <v>21</v>
      </c>
      <c r="Q23" t="s">
        <v>11</v>
      </c>
    </row>
    <row r="24" spans="1:17" ht="18.75" x14ac:dyDescent="0.3">
      <c r="A24" s="18" t="s">
        <v>44</v>
      </c>
      <c r="B24" s="18"/>
      <c r="C24" s="18"/>
      <c r="D24" s="18"/>
      <c r="E24" s="18"/>
      <c r="F24" s="8">
        <f ca="1">SUM(F4:F21)</f>
        <v>482</v>
      </c>
      <c r="P24">
        <v>22</v>
      </c>
      <c r="Q24" t="s">
        <v>35</v>
      </c>
    </row>
    <row r="25" spans="1:17" ht="18.75" x14ac:dyDescent="0.3">
      <c r="A25" s="18" t="s">
        <v>45</v>
      </c>
      <c r="B25" s="18"/>
      <c r="C25" s="18"/>
      <c r="D25" s="18"/>
      <c r="E25" s="18"/>
      <c r="F25" s="7">
        <f ca="1">COUNTA(A4:A21)</f>
        <v>10</v>
      </c>
      <c r="P25">
        <v>23</v>
      </c>
      <c r="Q25" t="s">
        <v>22</v>
      </c>
    </row>
    <row r="26" spans="1:17" ht="18.75" x14ac:dyDescent="0.3">
      <c r="A26" s="19" t="s">
        <v>39</v>
      </c>
      <c r="B26" s="19"/>
      <c r="C26" s="19"/>
      <c r="D26" s="19"/>
      <c r="E26" s="19"/>
      <c r="F26" s="10">
        <f ca="1">TODAY()</f>
        <v>45152</v>
      </c>
      <c r="P26">
        <v>24</v>
      </c>
      <c r="Q26" t="s">
        <v>32</v>
      </c>
    </row>
    <row r="27" spans="1:17" x14ac:dyDescent="0.25">
      <c r="P27">
        <v>25</v>
      </c>
      <c r="Q27" t="s">
        <v>33</v>
      </c>
    </row>
    <row r="28" spans="1:17" x14ac:dyDescent="0.25">
      <c r="P28">
        <v>26</v>
      </c>
      <c r="Q28" t="s">
        <v>31</v>
      </c>
    </row>
    <row r="29" spans="1:17" x14ac:dyDescent="0.25">
      <c r="P29">
        <v>27</v>
      </c>
      <c r="Q29" t="s">
        <v>8</v>
      </c>
    </row>
    <row r="30" spans="1:17" x14ac:dyDescent="0.25">
      <c r="P30">
        <v>28</v>
      </c>
      <c r="Q30" t="s">
        <v>18</v>
      </c>
    </row>
    <row r="31" spans="1:17" x14ac:dyDescent="0.25">
      <c r="P31">
        <v>29</v>
      </c>
      <c r="Q31" t="s">
        <v>36</v>
      </c>
    </row>
    <row r="32" spans="1:17" x14ac:dyDescent="0.25">
      <c r="P32">
        <v>30</v>
      </c>
      <c r="Q32" t="s">
        <v>4</v>
      </c>
    </row>
  </sheetData>
  <mergeCells count="6">
    <mergeCell ref="A22:E22"/>
    <mergeCell ref="A1:N1"/>
    <mergeCell ref="A26:E26"/>
    <mergeCell ref="A25:E25"/>
    <mergeCell ref="A24:E24"/>
    <mergeCell ref="A23:E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4769A-E143-4D32-B5B3-5A8F32BAFDC1}">
          <x14:formula1>
            <xm:f>produtos!$A$5:$A$34</xm:f>
          </x14:formula1>
          <xm:sqref>A4:A21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00DE-9A49-4391-9903-BA7A76A30103}">
  <sheetPr codeName="Planilha3"/>
  <dimension ref="A1:J55"/>
  <sheetViews>
    <sheetView showGridLines="0" zoomScale="115" zoomScaleNormal="115" workbookViewId="0">
      <selection activeCell="B4" sqref="B4:D4"/>
    </sheetView>
  </sheetViews>
  <sheetFormatPr defaultColWidth="19.7109375" defaultRowHeight="15" x14ac:dyDescent="0.25"/>
  <sheetData>
    <row r="1" spans="1:10" s="4" customFormat="1" ht="31.5" x14ac:dyDescent="0.5">
      <c r="A1" s="17" t="s">
        <v>0</v>
      </c>
      <c r="B1" s="17"/>
      <c r="C1" s="17"/>
      <c r="D1" s="17"/>
      <c r="E1" s="17"/>
      <c r="F1" s="17"/>
      <c r="G1" s="17"/>
      <c r="H1" s="17"/>
      <c r="I1" s="17"/>
      <c r="J1" s="17"/>
    </row>
    <row r="2" spans="1:10" s="5" customFormat="1" ht="31.5" x14ac:dyDescent="0.5">
      <c r="A2" s="5" t="s">
        <v>46</v>
      </c>
    </row>
    <row r="3" spans="1:10" ht="18.75" x14ac:dyDescent="0.3">
      <c r="A3" s="6" t="s">
        <v>39</v>
      </c>
      <c r="B3" s="6" t="s">
        <v>2</v>
      </c>
      <c r="C3" s="6" t="s">
        <v>47</v>
      </c>
      <c r="D3" s="6" t="s">
        <v>41</v>
      </c>
      <c r="E3" s="6" t="s">
        <v>48</v>
      </c>
    </row>
    <row r="4" spans="1:10" x14ac:dyDescent="0.25">
      <c r="A4" s="16">
        <v>45152.64702546296</v>
      </c>
      <c r="B4" s="2">
        <v>440</v>
      </c>
      <c r="C4" s="2">
        <v>737</v>
      </c>
      <c r="D4" s="2">
        <v>297</v>
      </c>
      <c r="E4">
        <v>10</v>
      </c>
    </row>
    <row r="5" spans="1:10" x14ac:dyDescent="0.25">
      <c r="A5" s="16">
        <v>45152.647013888891</v>
      </c>
      <c r="B5" s="2">
        <v>128</v>
      </c>
      <c r="C5" s="2">
        <v>273</v>
      </c>
      <c r="D5" s="2">
        <v>145</v>
      </c>
      <c r="E5">
        <v>3</v>
      </c>
    </row>
    <row r="6" spans="1:10" x14ac:dyDescent="0.25">
      <c r="A6" s="16">
        <v>45152.636064814818</v>
      </c>
      <c r="B6" s="2">
        <v>295</v>
      </c>
      <c r="C6" s="2">
        <v>566</v>
      </c>
      <c r="D6" s="2">
        <v>271</v>
      </c>
      <c r="E6">
        <v>8</v>
      </c>
    </row>
    <row r="7" spans="1:10" x14ac:dyDescent="0.25">
      <c r="A7" s="16">
        <v>45152.636064814818</v>
      </c>
      <c r="B7" s="2">
        <v>480</v>
      </c>
      <c r="C7" s="2">
        <v>1039</v>
      </c>
      <c r="D7" s="2">
        <v>559</v>
      </c>
      <c r="E7">
        <v>11</v>
      </c>
    </row>
    <row r="8" spans="1:10" x14ac:dyDescent="0.25">
      <c r="A8" s="16">
        <v>45152.636053240742</v>
      </c>
      <c r="B8" s="2">
        <v>571</v>
      </c>
      <c r="C8" s="2">
        <v>1219</v>
      </c>
      <c r="D8" s="2">
        <v>648</v>
      </c>
      <c r="E8">
        <v>11</v>
      </c>
    </row>
    <row r="9" spans="1:10" x14ac:dyDescent="0.25">
      <c r="A9" s="16">
        <v>45152.636053240742</v>
      </c>
      <c r="B9" s="2">
        <v>677</v>
      </c>
      <c r="C9" s="2">
        <v>1203</v>
      </c>
      <c r="D9" s="2">
        <v>526</v>
      </c>
      <c r="E9">
        <v>15</v>
      </c>
    </row>
    <row r="10" spans="1:10" x14ac:dyDescent="0.25">
      <c r="A10" s="16">
        <v>45152.636053240742</v>
      </c>
      <c r="B10" s="2">
        <v>323</v>
      </c>
      <c r="C10" s="2">
        <v>768</v>
      </c>
      <c r="D10" s="2">
        <v>445</v>
      </c>
      <c r="E10">
        <v>6</v>
      </c>
    </row>
    <row r="11" spans="1:10" x14ac:dyDescent="0.25">
      <c r="A11" s="16">
        <v>45152.636053240742</v>
      </c>
      <c r="B11" s="2">
        <v>428</v>
      </c>
      <c r="C11" s="2">
        <v>901</v>
      </c>
      <c r="D11" s="2">
        <v>473</v>
      </c>
      <c r="E11">
        <v>7</v>
      </c>
    </row>
    <row r="12" spans="1:10" x14ac:dyDescent="0.25">
      <c r="A12" s="16">
        <v>45152.636053240742</v>
      </c>
      <c r="B12" s="2">
        <v>585</v>
      </c>
      <c r="C12" s="2">
        <v>1227</v>
      </c>
      <c r="D12" s="2">
        <v>642</v>
      </c>
      <c r="E12">
        <v>13</v>
      </c>
    </row>
    <row r="13" spans="1:10" x14ac:dyDescent="0.25">
      <c r="A13" s="16">
        <v>45152.636053240742</v>
      </c>
      <c r="B13" s="2">
        <v>259</v>
      </c>
      <c r="C13" s="2">
        <v>553</v>
      </c>
      <c r="D13" s="2">
        <v>294</v>
      </c>
      <c r="E13">
        <v>5</v>
      </c>
    </row>
    <row r="14" spans="1:10" x14ac:dyDescent="0.25">
      <c r="A14" s="16">
        <v>45152.636053240742</v>
      </c>
      <c r="B14" s="2">
        <v>650</v>
      </c>
      <c r="C14" s="2">
        <v>1295</v>
      </c>
      <c r="D14" s="2">
        <v>645</v>
      </c>
      <c r="E14">
        <v>15</v>
      </c>
    </row>
    <row r="15" spans="1:10" x14ac:dyDescent="0.25">
      <c r="A15" s="16">
        <v>45152.636053240742</v>
      </c>
      <c r="B15" s="2">
        <v>264</v>
      </c>
      <c r="C15" s="2">
        <v>549</v>
      </c>
      <c r="D15" s="2">
        <v>285</v>
      </c>
      <c r="E15">
        <v>8</v>
      </c>
    </row>
    <row r="16" spans="1:10" x14ac:dyDescent="0.25">
      <c r="A16" s="16">
        <v>45152.636041666665</v>
      </c>
      <c r="B16" s="2">
        <v>60</v>
      </c>
      <c r="C16" s="2">
        <v>109</v>
      </c>
      <c r="D16" s="2">
        <v>49</v>
      </c>
      <c r="E16">
        <v>3</v>
      </c>
    </row>
    <row r="17" spans="1:5" x14ac:dyDescent="0.25">
      <c r="A17" s="16">
        <v>45152.636041666665</v>
      </c>
      <c r="B17" s="2">
        <v>556</v>
      </c>
      <c r="C17" s="2">
        <v>1067</v>
      </c>
      <c r="D17" s="2">
        <v>511</v>
      </c>
      <c r="E17">
        <v>10</v>
      </c>
    </row>
    <row r="18" spans="1:5" x14ac:dyDescent="0.25">
      <c r="A18" s="16">
        <v>45152.636041666665</v>
      </c>
      <c r="B18" s="2">
        <v>157</v>
      </c>
      <c r="C18" s="2">
        <v>331</v>
      </c>
      <c r="D18" s="2">
        <v>174</v>
      </c>
      <c r="E18">
        <v>4</v>
      </c>
    </row>
    <row r="19" spans="1:5" x14ac:dyDescent="0.25">
      <c r="A19" s="16">
        <v>45152.636041666665</v>
      </c>
      <c r="B19" s="2">
        <v>148</v>
      </c>
      <c r="C19" s="2">
        <v>263</v>
      </c>
      <c r="D19" s="2">
        <v>115</v>
      </c>
      <c r="E19">
        <v>5</v>
      </c>
    </row>
    <row r="20" spans="1:5" x14ac:dyDescent="0.25">
      <c r="A20" s="16">
        <v>45152.636041666665</v>
      </c>
      <c r="B20" s="2">
        <v>348</v>
      </c>
      <c r="C20" s="2">
        <v>836</v>
      </c>
      <c r="D20" s="2">
        <v>488</v>
      </c>
      <c r="E20">
        <v>11</v>
      </c>
    </row>
    <row r="21" spans="1:5" x14ac:dyDescent="0.25">
      <c r="A21" s="16">
        <v>45152.636041666665</v>
      </c>
      <c r="B21" s="2">
        <v>225</v>
      </c>
      <c r="C21" s="2">
        <v>439</v>
      </c>
      <c r="D21" s="2">
        <v>214</v>
      </c>
      <c r="E21">
        <v>6</v>
      </c>
    </row>
    <row r="22" spans="1:5" x14ac:dyDescent="0.25">
      <c r="A22" s="16">
        <v>45152.636041666665</v>
      </c>
      <c r="B22" s="2">
        <v>541</v>
      </c>
      <c r="C22" s="2">
        <v>1108</v>
      </c>
      <c r="D22" s="2">
        <v>567</v>
      </c>
      <c r="E22">
        <v>12</v>
      </c>
    </row>
    <row r="23" spans="1:5" x14ac:dyDescent="0.25">
      <c r="A23" s="16">
        <v>45152.636041666665</v>
      </c>
      <c r="B23" s="2">
        <v>417</v>
      </c>
      <c r="C23" s="2">
        <v>858</v>
      </c>
      <c r="D23" s="2">
        <v>441</v>
      </c>
      <c r="E23">
        <v>8</v>
      </c>
    </row>
    <row r="24" spans="1:5" x14ac:dyDescent="0.25">
      <c r="A24" s="16">
        <v>45152.636030092595</v>
      </c>
      <c r="B24" s="2">
        <v>382</v>
      </c>
      <c r="C24" s="2">
        <v>706</v>
      </c>
      <c r="D24" s="2">
        <v>324</v>
      </c>
      <c r="E24">
        <v>8</v>
      </c>
    </row>
    <row r="25" spans="1:5" x14ac:dyDescent="0.25">
      <c r="A25" s="16">
        <v>45152.636030092595</v>
      </c>
      <c r="B25" s="2">
        <v>539</v>
      </c>
      <c r="C25" s="2">
        <v>973</v>
      </c>
      <c r="D25" s="2">
        <v>434</v>
      </c>
      <c r="E25">
        <v>11</v>
      </c>
    </row>
    <row r="26" spans="1:5" x14ac:dyDescent="0.25">
      <c r="A26" s="16">
        <v>45152.636030092595</v>
      </c>
      <c r="B26" s="2">
        <v>160</v>
      </c>
      <c r="C26" s="2">
        <v>337</v>
      </c>
      <c r="D26" s="2">
        <v>177</v>
      </c>
      <c r="E26">
        <v>4</v>
      </c>
    </row>
    <row r="27" spans="1:5" x14ac:dyDescent="0.25">
      <c r="A27" s="16">
        <v>45152.636030092595</v>
      </c>
      <c r="B27" s="2">
        <v>192</v>
      </c>
      <c r="C27" s="2">
        <v>419</v>
      </c>
      <c r="D27" s="2">
        <v>227</v>
      </c>
      <c r="E27">
        <v>4</v>
      </c>
    </row>
    <row r="28" spans="1:5" x14ac:dyDescent="0.25">
      <c r="A28" s="16">
        <v>45152.636030092595</v>
      </c>
      <c r="B28" s="2">
        <v>348</v>
      </c>
      <c r="C28" s="2">
        <v>572</v>
      </c>
      <c r="D28" s="2">
        <v>224</v>
      </c>
      <c r="E28">
        <v>6</v>
      </c>
    </row>
    <row r="29" spans="1:5" x14ac:dyDescent="0.25">
      <c r="A29" s="16">
        <v>45152.636030092595</v>
      </c>
      <c r="B29" s="2">
        <v>342</v>
      </c>
      <c r="C29" s="2">
        <v>622</v>
      </c>
      <c r="D29" s="2">
        <v>280</v>
      </c>
      <c r="E29">
        <v>8</v>
      </c>
    </row>
    <row r="30" spans="1:5" x14ac:dyDescent="0.25">
      <c r="A30" s="16">
        <v>45152.636030092595</v>
      </c>
      <c r="B30" s="2">
        <v>859</v>
      </c>
      <c r="C30" s="2">
        <v>1655</v>
      </c>
      <c r="D30" s="2">
        <v>796</v>
      </c>
      <c r="E30">
        <v>16</v>
      </c>
    </row>
    <row r="31" spans="1:5" x14ac:dyDescent="0.25">
      <c r="A31" s="16">
        <v>45152.636030092595</v>
      </c>
      <c r="B31" s="2">
        <v>614</v>
      </c>
      <c r="C31" s="2">
        <v>1090</v>
      </c>
      <c r="D31" s="2">
        <v>476</v>
      </c>
      <c r="E31">
        <v>16</v>
      </c>
    </row>
    <row r="32" spans="1:5" x14ac:dyDescent="0.25">
      <c r="A32" s="16">
        <v>45152.636018518519</v>
      </c>
      <c r="B32" s="2">
        <v>231</v>
      </c>
      <c r="C32" s="2">
        <v>521</v>
      </c>
      <c r="D32" s="2">
        <v>290</v>
      </c>
      <c r="E32">
        <v>6</v>
      </c>
    </row>
    <row r="33" spans="1:5" x14ac:dyDescent="0.25">
      <c r="A33" s="16">
        <v>45152.636018518519</v>
      </c>
      <c r="B33" s="2">
        <v>247</v>
      </c>
      <c r="C33" s="2">
        <v>607</v>
      </c>
      <c r="D33" s="2">
        <v>360</v>
      </c>
      <c r="E33">
        <v>7</v>
      </c>
    </row>
    <row r="34" spans="1:5" x14ac:dyDescent="0.25">
      <c r="A34" s="16">
        <v>45152.636018518519</v>
      </c>
      <c r="B34" s="2">
        <v>273</v>
      </c>
      <c r="C34" s="2">
        <v>496</v>
      </c>
      <c r="D34" s="2">
        <v>223</v>
      </c>
      <c r="E34">
        <v>6</v>
      </c>
    </row>
    <row r="35" spans="1:5" x14ac:dyDescent="0.25">
      <c r="A35" s="16">
        <v>45152.636018518519</v>
      </c>
      <c r="B35" s="2">
        <v>49</v>
      </c>
      <c r="C35" s="2">
        <v>104</v>
      </c>
      <c r="D35" s="2">
        <v>55</v>
      </c>
      <c r="E35">
        <v>2</v>
      </c>
    </row>
    <row r="36" spans="1:5" x14ac:dyDescent="0.25">
      <c r="A36" s="16">
        <v>45152.636018518519</v>
      </c>
      <c r="B36" s="2">
        <v>286</v>
      </c>
      <c r="C36" s="2">
        <v>468</v>
      </c>
      <c r="D36" s="2">
        <v>182</v>
      </c>
      <c r="E36">
        <v>6</v>
      </c>
    </row>
    <row r="37" spans="1:5" x14ac:dyDescent="0.25">
      <c r="A37" s="16">
        <v>45152.636018518519</v>
      </c>
      <c r="B37" s="2">
        <v>567</v>
      </c>
      <c r="C37" s="2">
        <v>1065</v>
      </c>
      <c r="D37" s="2">
        <v>498</v>
      </c>
      <c r="E37">
        <v>13</v>
      </c>
    </row>
    <row r="38" spans="1:5" x14ac:dyDescent="0.25">
      <c r="A38" s="16">
        <v>45152.636006944442</v>
      </c>
      <c r="B38" s="2">
        <v>151</v>
      </c>
      <c r="C38" s="2">
        <v>259</v>
      </c>
      <c r="D38" s="2">
        <v>108</v>
      </c>
      <c r="E38">
        <v>3</v>
      </c>
    </row>
    <row r="39" spans="1:5" x14ac:dyDescent="0.25">
      <c r="A39" s="16">
        <v>45152.636006944442</v>
      </c>
      <c r="B39" s="2">
        <v>106</v>
      </c>
      <c r="C39" s="2">
        <v>217</v>
      </c>
      <c r="D39" s="2">
        <v>111</v>
      </c>
      <c r="E39">
        <v>3</v>
      </c>
    </row>
    <row r="40" spans="1:5" x14ac:dyDescent="0.25">
      <c r="A40" s="16">
        <v>45152.636006944442</v>
      </c>
      <c r="B40" s="2">
        <v>383</v>
      </c>
      <c r="C40" s="2">
        <v>735</v>
      </c>
      <c r="D40" s="2">
        <v>352</v>
      </c>
      <c r="E40">
        <v>10</v>
      </c>
    </row>
    <row r="41" spans="1:5" x14ac:dyDescent="0.25">
      <c r="A41" s="16">
        <v>45152.636006944442</v>
      </c>
      <c r="B41" s="2">
        <v>95</v>
      </c>
      <c r="C41" s="2">
        <v>164</v>
      </c>
      <c r="D41" s="2">
        <v>69</v>
      </c>
      <c r="E41">
        <v>2</v>
      </c>
    </row>
    <row r="42" spans="1:5" x14ac:dyDescent="0.25">
      <c r="A42" s="16">
        <v>45152.636006944442</v>
      </c>
      <c r="B42" s="2">
        <v>445</v>
      </c>
      <c r="C42" s="2">
        <v>879</v>
      </c>
      <c r="D42" s="2">
        <v>434</v>
      </c>
      <c r="E42">
        <v>12</v>
      </c>
    </row>
    <row r="43" spans="1:5" x14ac:dyDescent="0.25">
      <c r="A43" s="16">
        <v>45152.635960648149</v>
      </c>
      <c r="B43" s="2">
        <v>736</v>
      </c>
      <c r="C43" s="2">
        <v>1524</v>
      </c>
      <c r="D43" s="2">
        <v>788</v>
      </c>
      <c r="E43">
        <v>16</v>
      </c>
    </row>
    <row r="44" spans="1:5" x14ac:dyDescent="0.25">
      <c r="A44" s="16">
        <v>45152.635960648149</v>
      </c>
      <c r="B44" s="2">
        <v>100</v>
      </c>
      <c r="C44" s="2">
        <v>163</v>
      </c>
      <c r="D44" s="2">
        <v>63</v>
      </c>
      <c r="E44">
        <v>3</v>
      </c>
    </row>
    <row r="45" spans="1:5" x14ac:dyDescent="0.25">
      <c r="A45" s="16">
        <v>45152.635960648149</v>
      </c>
      <c r="B45" s="2">
        <v>602</v>
      </c>
      <c r="C45" s="2">
        <v>1146</v>
      </c>
      <c r="D45" s="2">
        <v>544</v>
      </c>
      <c r="E45">
        <v>10</v>
      </c>
    </row>
    <row r="46" spans="1:5" x14ac:dyDescent="0.25">
      <c r="A46" s="16">
        <v>45152.635960648149</v>
      </c>
      <c r="B46" s="2">
        <v>197</v>
      </c>
      <c r="C46" s="2">
        <v>389</v>
      </c>
      <c r="D46" s="2">
        <v>192</v>
      </c>
      <c r="E46">
        <v>5</v>
      </c>
    </row>
    <row r="47" spans="1:5" x14ac:dyDescent="0.25">
      <c r="A47" s="16">
        <v>45152.635949074072</v>
      </c>
      <c r="B47" s="2">
        <v>709</v>
      </c>
      <c r="C47" s="2">
        <v>1517</v>
      </c>
      <c r="D47" s="2">
        <v>808</v>
      </c>
      <c r="E47">
        <v>16</v>
      </c>
    </row>
    <row r="48" spans="1:5" x14ac:dyDescent="0.25">
      <c r="A48" s="16">
        <v>45152.635949074072</v>
      </c>
      <c r="B48" s="2">
        <v>447</v>
      </c>
      <c r="C48" s="2">
        <v>1050</v>
      </c>
      <c r="D48" s="2">
        <v>603</v>
      </c>
      <c r="E48">
        <v>12</v>
      </c>
    </row>
    <row r="49" spans="1:5" x14ac:dyDescent="0.25">
      <c r="A49" s="16">
        <v>45152.635949074072</v>
      </c>
      <c r="B49" s="2">
        <v>162</v>
      </c>
      <c r="C49" s="2">
        <v>401</v>
      </c>
      <c r="D49" s="2">
        <v>239</v>
      </c>
      <c r="E49">
        <v>5</v>
      </c>
    </row>
    <row r="50" spans="1:5" x14ac:dyDescent="0.25">
      <c r="A50" s="16">
        <v>45152.635937500003</v>
      </c>
      <c r="B50" s="2">
        <v>801</v>
      </c>
      <c r="C50" s="2">
        <v>1652</v>
      </c>
      <c r="D50" s="2">
        <v>851</v>
      </c>
      <c r="E50">
        <v>15</v>
      </c>
    </row>
    <row r="51" spans="1:5" x14ac:dyDescent="0.25">
      <c r="A51" s="16">
        <v>45152.635937500003</v>
      </c>
      <c r="B51" s="2">
        <v>452</v>
      </c>
      <c r="C51" s="2">
        <v>904</v>
      </c>
      <c r="D51" s="2">
        <v>452</v>
      </c>
      <c r="E51">
        <v>16</v>
      </c>
    </row>
    <row r="52" spans="1:5" x14ac:dyDescent="0.25">
      <c r="A52" s="16">
        <v>45152.635937500003</v>
      </c>
      <c r="B52" s="2">
        <v>492</v>
      </c>
      <c r="C52" s="2">
        <v>1024</v>
      </c>
      <c r="D52" s="2">
        <v>532</v>
      </c>
      <c r="E52">
        <v>10</v>
      </c>
    </row>
    <row r="53" spans="1:5" x14ac:dyDescent="0.25">
      <c r="A53" s="16">
        <v>45152.635925925926</v>
      </c>
      <c r="B53" s="2">
        <v>560</v>
      </c>
      <c r="C53" s="2">
        <v>1011</v>
      </c>
      <c r="D53" s="2">
        <v>451</v>
      </c>
      <c r="E53">
        <v>14</v>
      </c>
    </row>
    <row r="54" spans="1:5" x14ac:dyDescent="0.25">
      <c r="A54" s="16">
        <v>45152.635914351849</v>
      </c>
      <c r="B54" s="2">
        <v>75</v>
      </c>
      <c r="C54" s="2">
        <v>176</v>
      </c>
      <c r="D54" s="2">
        <v>101</v>
      </c>
      <c r="E54">
        <v>2</v>
      </c>
    </row>
    <row r="55" spans="1:5" x14ac:dyDescent="0.25">
      <c r="A55" s="16">
        <v>45152.635810185187</v>
      </c>
      <c r="B55" s="2">
        <v>16</v>
      </c>
      <c r="C55" s="2">
        <v>29</v>
      </c>
      <c r="D55" s="2">
        <v>13</v>
      </c>
      <c r="E55">
        <v>1</v>
      </c>
    </row>
  </sheetData>
  <mergeCells count="1">
    <mergeCell ref="A1:J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</vt:lpstr>
      <vt:lpstr>negocios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2023-08-09T16:43:06Z</dcterms:created>
  <dcterms:modified xsi:type="dcterms:W3CDTF">2023-08-14T18:31:48Z</dcterms:modified>
</cp:coreProperties>
</file>