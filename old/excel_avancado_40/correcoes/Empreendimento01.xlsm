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well\senai2023\excel_avancado_40\"/>
    </mc:Choice>
  </mc:AlternateContent>
  <xr:revisionPtr revIDLastSave="0" documentId="13_ncr:1_{AA7E96AB-C86D-4757-B2C6-2091EAC4F4A3}" xr6:coauthVersionLast="47" xr6:coauthVersionMax="47" xr10:uidLastSave="{00000000-0000-0000-0000-000000000000}"/>
  <bookViews>
    <workbookView xWindow="-120" yWindow="-120" windowWidth="29040" windowHeight="15840" activeTab="2" xr2:uid="{A19FF470-BC36-43E5-A9C2-5D45BF4CCE08}"/>
  </bookViews>
  <sheets>
    <sheet name="comanda" sheetId="1" r:id="rId1"/>
    <sheet name="cardapio" sheetId="3" r:id="rId2"/>
    <sheet name="relatorio" sheetId="5" r:id="rId3"/>
    <sheet name="bi" sheetId="6" r:id="rId4"/>
    <sheet name="Graficos" sheetId="7" r:id="rId5"/>
    <sheet name="Dashboard" sheetId="8" r:id="rId6"/>
  </sheets>
  <definedNames>
    <definedName name="_xlnm._FilterDatabase" localSheetId="0" hidden="1">comanda!$A$1:$D$18</definedName>
    <definedName name="NativeTimeline_Quando">#N/A</definedName>
    <definedName name="SegmentaçãodeDados_Dias__Quando">#N/A</definedName>
    <definedName name="SegmentaçãodeDados_Funcionário">#N/A</definedName>
    <definedName name="SegmentaçãodeDados_Horas__Quando">#N/A</definedName>
    <definedName name="SegmentaçãodeDados_Tipo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6" i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6" i="1" l="1"/>
  <c r="D5" i="1"/>
  <c r="B16" i="1"/>
  <c r="D4" i="1"/>
  <c r="D16" i="1" l="1"/>
  <c r="D18" i="1" s="1"/>
</calcChain>
</file>

<file path=xl/sharedStrings.xml><?xml version="1.0" encoding="utf-8"?>
<sst xmlns="http://schemas.openxmlformats.org/spreadsheetml/2006/main" count="375" uniqueCount="48">
  <si>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</si>
  <si>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</si>
  <si>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</si>
  <si>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</si>
  <si>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</si>
  <si>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</si>
  <si>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</si>
  <si>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</si>
  <si>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</si>
  <si>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</si>
  <si>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</si>
  <si>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</si>
  <si>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</si>
  <si>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</si>
  <si>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</si>
  <si>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</si>
  <si>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</si>
  <si>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</si>
  <si>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</si>
  <si>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</si>
  <si>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</si>
  <si>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</si>
  <si>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</si>
  <si>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</si>
  <si>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</si>
  <si>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</si>
  <si>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</si>
  <si>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</si>
  <si>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</si>
  <si>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Valor</t>
  </si>
  <si>
    <t>Tipo</t>
  </si>
  <si>
    <t>Cartão</t>
  </si>
  <si>
    <t>Funcionários</t>
  </si>
  <si>
    <t>Arnaldo Antunes</t>
  </si>
  <si>
    <t>Marcelo Silva</t>
  </si>
  <si>
    <t>Mariana Lima</t>
  </si>
  <si>
    <t>Funcionário</t>
  </si>
  <si>
    <t>Quando</t>
  </si>
  <si>
    <t>Análise de dados</t>
  </si>
  <si>
    <t>Soma de Valor</t>
  </si>
  <si>
    <t>Rótulos de Linha</t>
  </si>
  <si>
    <t>Total Geral</t>
  </si>
  <si>
    <t>Painel de controle - BI</t>
  </si>
  <si>
    <t>06/ago</t>
  </si>
  <si>
    <t>07/ago</t>
  </si>
  <si>
    <t>08/ago</t>
  </si>
  <si>
    <t>09/ago</t>
  </si>
  <si>
    <t>Registros de Caixa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</si>
</sst>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164" fontId="0" fillId="0" borderId="0" xfId="0" applyNumberFormat="1"/>
    <xf numFmtId="22" fontId="0" fillId="0" borderId="0" xfId="0" applyNumberFormat="1"/>
    <xf numFmtId="0" fontId="5" fillId="4" borderId="0" xfId="0" applyFont="1" applyFill="1" applyProtection="1">
      <protection locked="0"/>
    </xf>
    <xf numFmtId="0" fontId="6" fillId="3" borderId="2" xfId="0" applyFont="1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0" fontId="4" fillId="2" borderId="0" xfId="0" applyFont="1" applyFill="1" applyAlignment="1">
      <alignment horizontal="left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1/relationships/timelineCache" Target="timelineCaches/timelineCach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A1D-4CA3-BFCA-9E45FB3799D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A1D-4CA3-BFCA-9E45FB3799D6}"/>
              </c:ext>
            </c:extLst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9-4377-B7E7-D1E3A21E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7-415A-ABAF-54749D6F2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1-487C-A2A8-FB80C8516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Tipos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Graficos!$B$7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420-480F-9926-948ED275FDE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0-480F-9926-948ED275FDE4}"/>
              </c:ext>
            </c:extLst>
          </c:dPt>
          <c:cat>
            <c:strRef>
              <c:f>Graficos!$A$8:$A$10</c:f>
              <c:strCache>
                <c:ptCount val="2"/>
                <c:pt idx="0">
                  <c:v>Cartão</c:v>
                </c:pt>
                <c:pt idx="1">
                  <c:v>Dinheiro</c:v>
                </c:pt>
              </c:strCache>
            </c:strRef>
          </c:cat>
          <c:val>
            <c:numRef>
              <c:f>Graficos!$B$8:$B$10</c:f>
              <c:numCache>
                <c:formatCode>General</c:formatCode>
                <c:ptCount val="2"/>
                <c:pt idx="0">
                  <c:v>5165.5</c:v>
                </c:pt>
                <c:pt idx="1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20-480F-9926-948ED275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Funcionários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Graficos!$A$13:$A$16</c:f>
              <c:strCache>
                <c:ptCount val="3"/>
                <c:pt idx="0">
                  <c:v>Arnaldo Antunes</c:v>
                </c:pt>
                <c:pt idx="1">
                  <c:v>Marcelo Silva</c:v>
                </c:pt>
                <c:pt idx="2">
                  <c:v>Mariana Lima</c:v>
                </c:pt>
              </c:strCache>
            </c:strRef>
          </c:cat>
          <c:val>
            <c:numRef>
              <c:f>Graficos!$B$13:$B$16</c:f>
              <c:numCache>
                <c:formatCode>General</c:formatCode>
                <c:ptCount val="3"/>
                <c:pt idx="0">
                  <c:v>2786</c:v>
                </c:pt>
                <c:pt idx="1">
                  <c:v>2786.5</c:v>
                </c:pt>
                <c:pt idx="2">
                  <c:v>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8-4C39-9A80-17789F192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1462480"/>
        <c:axId val="551458160"/>
      </c:barChart>
      <c:catAx>
        <c:axId val="5514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58160"/>
        <c:crosses val="autoZero"/>
        <c:auto val="1"/>
        <c:lblAlgn val="ctr"/>
        <c:lblOffset val="100"/>
        <c:noMultiLvlLbl val="0"/>
      </c:catAx>
      <c:valAx>
        <c:axId val="55145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14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[Empreendimento01.xlsm]Graficos!Tabela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Dias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Graficos!$A$20:$A$24</c:f>
              <c:strCache>
                <c:ptCount val="4"/>
                <c:pt idx="0">
                  <c:v>06/ago</c:v>
                </c:pt>
                <c:pt idx="1">
                  <c:v>07/ago</c:v>
                </c:pt>
                <c:pt idx="2">
                  <c:v>08/ago</c:v>
                </c:pt>
                <c:pt idx="3">
                  <c:v>09/ago</c:v>
                </c:pt>
              </c:strCache>
            </c:strRef>
          </c:cat>
          <c:val>
            <c:numRef>
              <c:f>Graficos!$B$20:$B$24</c:f>
              <c:numCache>
                <c:formatCode>General</c:formatCode>
                <c:ptCount val="4"/>
                <c:pt idx="0">
                  <c:v>1723</c:v>
                </c:pt>
                <c:pt idx="1">
                  <c:v>1067.5</c:v>
                </c:pt>
                <c:pt idx="2">
                  <c:v>4450</c:v>
                </c:pt>
                <c:pt idx="3">
                  <c:v>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3-4957-9391-7695CB755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2014240"/>
        <c:axId val="514209688"/>
      </c:barChart>
      <c:catAx>
        <c:axId val="5520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209688"/>
        <c:crosses val="autoZero"/>
        <c:auto val="1"/>
        <c:lblAlgn val="ctr"/>
        <c:lblOffset val="100"/>
        <c:noMultiLvlLbl val="0"/>
      </c:catAx>
      <c:valAx>
        <c:axId val="51420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20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15</xdr:row>
      <xdr:rowOff>90487</xdr:rowOff>
    </xdr:from>
    <xdr:to>
      <xdr:col>9</xdr:col>
      <xdr:colOff>552450</xdr:colOff>
      <xdr:row>29</xdr:row>
      <xdr:rowOff>166687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9D3F2C0-3132-BDC6-BB12-B77EEDB2E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71436</xdr:rowOff>
    </xdr:from>
    <xdr:to>
      <xdr:col>17</xdr:col>
      <xdr:colOff>323850</xdr:colOff>
      <xdr:row>14</xdr:row>
      <xdr:rowOff>152399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CE937AB-14ED-C155-AB62-416D2BD85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252412</xdr:colOff>
      <xdr:row>0</xdr:row>
      <xdr:rowOff>57150</xdr:rowOff>
    </xdr:from>
    <xdr:to>
      <xdr:col>9</xdr:col>
      <xdr:colOff>557212</xdr:colOff>
      <xdr:row>14</xdr:row>
      <xdr:rowOff>176212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A9CFA98-58D2-35B8-10C7-984901DA6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42862</xdr:rowOff>
    </xdr:from>
    <xdr:to>
      <xdr:col>15</xdr:col>
      <xdr:colOff>76200</xdr:colOff>
      <xdr:row>16</xdr:row>
      <xdr:rowOff>119062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61FA826-1A2F-4A2D-B920-6E4F502E0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17</xdr:row>
      <xdr:rowOff>42862</xdr:rowOff>
    </xdr:from>
    <xdr:to>
      <xdr:col>15</xdr:col>
      <xdr:colOff>85725</xdr:colOff>
      <xdr:row>31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E3E9755-E89C-41F1-840A-6470ACF6F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2</xdr:row>
      <xdr:rowOff>38100</xdr:rowOff>
    </xdr:from>
    <xdr:to>
      <xdr:col>7</xdr:col>
      <xdr:colOff>333375</xdr:colOff>
      <xdr:row>16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0351627-F84E-4EBF-9DF8-395F346DF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190500</xdr:colOff>
      <xdr:row>2</xdr:row>
      <xdr:rowOff>47625</xdr:rowOff>
    </xdr:from>
    <xdr:to>
      <xdr:col>18</xdr:col>
      <xdr:colOff>190500</xdr:colOff>
      <xdr:row>15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uncionário">
              <a:extLst>
                <a:ext uri="{FF2B5EF4-FFF2-40B4-BE49-F238E27FC236}">
                  <a16:creationId xmlns:a16="http://schemas.microsoft.com/office/drawing/2014/main" id="{0DF4EC70-B15D-39FC-7E34-71E327CD90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ion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34500" y="6858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247650</xdr:colOff>
      <xdr:row>2</xdr:row>
      <xdr:rowOff>57150</xdr:rowOff>
    </xdr:from>
    <xdr:to>
      <xdr:col>21</xdr:col>
      <xdr:colOff>247650</xdr:colOff>
      <xdr:row>15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4CFD0EF9-6858-B020-2C17-9CBD05A329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20450" y="695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15</xdr:row>
      <xdr:rowOff>171450</xdr:rowOff>
    </xdr:from>
    <xdr:to>
      <xdr:col>18</xdr:col>
      <xdr:colOff>200025</xdr:colOff>
      <xdr:row>29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Horas (Quando)">
              <a:extLst>
                <a:ext uri="{FF2B5EF4-FFF2-40B4-BE49-F238E27FC236}">
                  <a16:creationId xmlns:a16="http://schemas.microsoft.com/office/drawing/2014/main" id="{012B3B92-BF60-615D-CAFF-A0DBA7D717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ras (Quand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3286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266700</xdr:colOff>
      <xdr:row>15</xdr:row>
      <xdr:rowOff>161925</xdr:rowOff>
    </xdr:from>
    <xdr:to>
      <xdr:col>21</xdr:col>
      <xdr:colOff>266700</xdr:colOff>
      <xdr:row>29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ias (Quando)">
              <a:extLst>
                <a:ext uri="{FF2B5EF4-FFF2-40B4-BE49-F238E27FC236}">
                  <a16:creationId xmlns:a16="http://schemas.microsoft.com/office/drawing/2014/main" id="{4BA8243B-0899-B46F-5096-B325C8D233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as (Quand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39500" y="3276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200025</xdr:colOff>
      <xdr:row>29</xdr:row>
      <xdr:rowOff>66675</xdr:rowOff>
    </xdr:from>
    <xdr:to>
      <xdr:col>21</xdr:col>
      <xdr:colOff>257175</xdr:colOff>
      <xdr:row>36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Quando">
              <a:extLst>
                <a:ext uri="{FF2B5EF4-FFF2-40B4-BE49-F238E27FC236}">
                  <a16:creationId xmlns:a16="http://schemas.microsoft.com/office/drawing/2014/main" id="{07FA178C-4184-14F7-EC0B-7C37A416D0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Quan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44025" y="5848350"/>
              <a:ext cx="3714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146.626106365744" createdVersion="8" refreshedVersion="8" minRefreshableVersion="3" recordCount="152" xr:uid="{454347C0-C8C3-4A60-B75D-F07F0E06B46E}">
  <cacheSource type="worksheet">
    <worksheetSource ref="A3:D155" sheet="bi"/>
  </cacheSource>
  <cacheFields count="8">
    <cacheField name="Funcionário" numFmtId="0">
      <sharedItems count="3">
        <s v="Arnaldo Antunes"/>
        <s v="Mariana Lima"/>
        <s v="Marcelo Silva"/>
      </sharedItems>
    </cacheField>
    <cacheField name="Quando" numFmtId="22">
      <sharedItems containsSemiMixedTypes="0" containsNonDate="0" containsDate="1" containsString="0" minDate="2023-08-06T14:32:38" maxDate="2023-08-09T19:00:29" count="140">
        <d v="2023-08-09T19:00:29"/>
        <d v="2023-08-09T18:37:26"/>
        <d v="2023-08-09T18:27:22"/>
        <d v="2023-08-09T17:42:43"/>
        <d v="2023-08-09T17:39:50"/>
        <d v="2023-08-09T17:21:07"/>
        <d v="2023-08-09T17:11:02"/>
        <d v="2023-08-09T17:05:17"/>
        <d v="2023-08-09T16:53:46"/>
        <d v="2023-08-09T16:50:53"/>
        <d v="2023-08-09T16:30:43"/>
        <d v="2023-08-09T16:14:53"/>
        <d v="2023-08-09T15:41:46"/>
        <d v="2023-08-09T15:38:53"/>
        <d v="2023-08-09T15:36:00"/>
        <d v="2023-08-09T15:31:41"/>
        <d v="2023-08-09T15:24:29"/>
        <d v="2023-08-09T15:23:02"/>
        <d v="2023-08-09T15:15:50"/>
        <d v="2023-08-09T14:26:53"/>
        <d v="2023-08-08T19:12:00"/>
        <d v="2023-08-08T19:03:22"/>
        <d v="2023-08-08T19:00:29"/>
        <d v="2023-08-08T18:59:02"/>
        <d v="2023-08-08T18:56:10"/>
        <d v="2023-08-08T18:50:24"/>
        <d v="2023-08-08T18:40:19"/>
        <d v="2023-08-08T18:37:26"/>
        <d v="2023-08-08T18:31:41"/>
        <d v="2023-08-08T18:28:48"/>
        <d v="2023-08-08T18:23:02"/>
        <d v="2023-08-08T18:21:36"/>
        <d v="2023-08-08T18:17:17"/>
        <d v="2023-08-08T18:12:58"/>
        <d v="2023-08-08T18:10:05"/>
        <d v="2023-08-08T18:08:38"/>
        <d v="2023-08-08T18:05:46"/>
        <d v="2023-08-08T18:00:00"/>
        <d v="2023-08-08T17:58:34"/>
        <d v="2023-08-08T17:57:07"/>
        <d v="2023-08-08T17:51:22"/>
        <d v="2023-08-08T17:49:55"/>
        <d v="2023-08-08T17:45:36"/>
        <d v="2023-08-08T17:38:24"/>
        <d v="2023-08-08T17:36:58"/>
        <d v="2023-08-08T17:18:14"/>
        <d v="2023-08-08T17:13:55"/>
        <d v="2023-08-08T17:05:17"/>
        <d v="2023-08-08T16:55:12"/>
        <d v="2023-08-08T16:52:19"/>
        <d v="2023-08-08T16:50:53"/>
        <d v="2023-08-08T16:49:26"/>
        <d v="2023-08-08T16:29:17"/>
        <d v="2023-08-08T16:27:50"/>
        <d v="2023-08-08T16:22:05"/>
        <d v="2023-08-08T16:19:12"/>
        <d v="2023-08-08T16:09:07"/>
        <d v="2023-08-08T16:07:41"/>
        <d v="2023-08-08T15:54:43"/>
        <d v="2023-08-08T15:48:58"/>
        <d v="2023-08-08T15:47:31"/>
        <d v="2023-08-08T15:46:05"/>
        <d v="2023-08-08T15:43:12"/>
        <d v="2023-08-08T15:41:46"/>
        <d v="2023-08-08T15:36:00"/>
        <d v="2023-08-08T15:31:41"/>
        <d v="2023-08-08T15:30:14"/>
        <d v="2023-08-08T15:27:22"/>
        <d v="2023-08-08T15:24:29"/>
        <d v="2023-08-08T15:15:50"/>
        <d v="2023-08-08T15:11:31"/>
        <d v="2023-08-08T15:08:38"/>
        <d v="2023-08-08T15:05:46"/>
        <d v="2023-08-08T15:04:19"/>
        <d v="2023-08-08T14:57:07"/>
        <d v="2023-08-08T14:55:41"/>
        <d v="2023-08-08T14:47:02"/>
        <d v="2023-08-08T14:45:36"/>
        <d v="2023-08-08T14:44:10"/>
        <d v="2023-08-08T14:42:43"/>
        <d v="2023-08-08T14:41:17"/>
        <d v="2023-08-08T14:39:50"/>
        <d v="2023-08-08T14:29:46"/>
        <d v="2023-08-08T14:28:19"/>
        <d v="2023-08-08T14:25:26"/>
        <d v="2023-08-07T18:53:17"/>
        <d v="2023-08-07T18:10:05"/>
        <d v="2023-08-07T17:47:02"/>
        <d v="2023-08-07T17:38:24"/>
        <d v="2023-08-07T17:08:10"/>
        <d v="2023-08-07T16:30:43"/>
        <d v="2023-08-07T16:13:26"/>
        <d v="2023-08-07T16:10:34"/>
        <d v="2023-08-07T16:07:41"/>
        <d v="2023-08-07T16:00:29"/>
        <d v="2023-08-07T15:59:02"/>
        <d v="2023-08-07T15:56:10"/>
        <d v="2023-08-07T15:53:17"/>
        <d v="2023-08-07T15:07:12"/>
        <d v="2023-08-07T15:01:26"/>
        <d v="2023-08-07T14:49:55"/>
        <d v="2023-08-07T14:48:29"/>
        <d v="2023-08-07T14:44:10"/>
        <d v="2023-08-07T14:38:24"/>
        <d v="2023-08-07T14:35:31"/>
        <d v="2023-08-07T14:28:19"/>
        <d v="2023-08-07T14:26:53"/>
        <d v="2023-08-06T19:07:41"/>
        <d v="2023-08-06T19:03:22"/>
        <d v="2023-08-06T18:54:43"/>
        <d v="2023-08-06T18:44:38"/>
        <d v="2023-08-06T18:41:46"/>
        <d v="2023-08-06T18:27:22"/>
        <d v="2023-08-06T18:02:53"/>
        <d v="2023-08-06T17:52:48"/>
        <d v="2023-08-06T17:39:50"/>
        <d v="2023-08-06T17:38:24"/>
        <d v="2023-08-06T17:31:12"/>
        <d v="2023-08-06T17:24:00"/>
        <d v="2023-08-06T17:16:48"/>
        <d v="2023-08-06T17:13:55"/>
        <d v="2023-08-06T17:06:43"/>
        <d v="2023-08-06T16:56:38"/>
        <d v="2023-08-06T16:52:19"/>
        <d v="2023-08-06T16:49:26"/>
        <d v="2023-08-06T16:39:22"/>
        <d v="2023-08-06T16:29:17"/>
        <d v="2023-08-06T16:09:07"/>
        <d v="2023-08-06T16:06:14"/>
        <d v="2023-08-06T15:50:24"/>
        <d v="2023-08-06T15:48:58"/>
        <d v="2023-08-06T15:38:53"/>
        <d v="2023-08-06T15:28:48"/>
        <d v="2023-08-06T15:12:58"/>
        <d v="2023-08-06T15:07:12"/>
        <d v="2023-08-06T14:57:07"/>
        <d v="2023-08-06T14:55:41"/>
        <d v="2023-08-06T14:38:24"/>
        <d v="2023-08-06T14:34:05"/>
        <d v="2023-08-06T14:32:38"/>
      </sharedItems>
      <fieldGroup par="7"/>
    </cacheField>
    <cacheField name="Valor" numFmtId="44">
      <sharedItems containsSemiMixedTypes="0" containsString="0" containsNumber="1" minValue="12" maxValue="141"/>
    </cacheField>
    <cacheField name="Tipo" numFmtId="0">
      <sharedItems count="2">
        <s v="Cartão"/>
        <s v="Dinheiro"/>
      </sharedItems>
    </cacheField>
    <cacheField name="Segundos (Quando)" numFmtId="0" databaseField="0">
      <fieldGroup base="1">
        <rangePr groupBy="second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Minutos (Quando)" numFmtId="0" databaseField="0">
      <fieldGroup base="1">
        <rangePr groupBy="minutes" startDate="2023-08-06T14:32:38" endDate="2023-08-09T19:00:29"/>
        <groupItems count="62">
          <s v="&lt;06/08/2023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9/08/2023"/>
        </groupItems>
      </fieldGroup>
    </cacheField>
    <cacheField name="Horas (Quando)" numFmtId="0" databaseField="0">
      <fieldGroup base="1">
        <rangePr groupBy="hours" startDate="2023-08-06T14:32:38" endDate="2023-08-09T19:00:29"/>
        <groupItems count="26">
          <s v="&lt;06/08/2023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9/08/2023"/>
        </groupItems>
      </fieldGroup>
    </cacheField>
    <cacheField name="Dias (Quando)" numFmtId="0" databaseField="0">
      <fieldGroup base="1">
        <rangePr groupBy="days" startDate="2023-08-06T14:32:38" endDate="2023-08-09T19:00:29"/>
        <groupItems count="368">
          <s v="&lt;06/08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9/08/2023"/>
        </groupItems>
      </fieldGroup>
    </cacheField>
  </cacheFields>
  <extLst>
    <ext xmlns:x14="http://schemas.microsoft.com/office/spreadsheetml/2009/9/main" uri="{725AE2AE-9491-48be-B2B4-4EB974FC3084}">
      <x14:pivotCacheDefinition pivotCacheId="167765330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">
  <r>
    <x v="0"/>
    <x v="0"/>
    <n v="27"/>
    <x v="0"/>
  </r>
  <r>
    <x v="0"/>
    <x v="1"/>
    <n v="12"/>
    <x v="1"/>
  </r>
  <r>
    <x v="0"/>
    <x v="2"/>
    <n v="39"/>
    <x v="1"/>
  </r>
  <r>
    <x v="0"/>
    <x v="3"/>
    <n v="60"/>
    <x v="1"/>
  </r>
  <r>
    <x v="0"/>
    <x v="4"/>
    <n v="78"/>
    <x v="0"/>
  </r>
  <r>
    <x v="0"/>
    <x v="5"/>
    <n v="33"/>
    <x v="1"/>
  </r>
  <r>
    <x v="0"/>
    <x v="6"/>
    <n v="87"/>
    <x v="0"/>
  </r>
  <r>
    <x v="0"/>
    <x v="7"/>
    <n v="87"/>
    <x v="0"/>
  </r>
  <r>
    <x v="0"/>
    <x v="8"/>
    <n v="45"/>
    <x v="0"/>
  </r>
  <r>
    <x v="0"/>
    <x v="9"/>
    <n v="141"/>
    <x v="0"/>
  </r>
  <r>
    <x v="0"/>
    <x v="10"/>
    <n v="14"/>
    <x v="0"/>
  </r>
  <r>
    <x v="0"/>
    <x v="11"/>
    <n v="45"/>
    <x v="0"/>
  </r>
  <r>
    <x v="0"/>
    <x v="12"/>
    <n v="72"/>
    <x v="0"/>
  </r>
  <r>
    <x v="0"/>
    <x v="13"/>
    <n v="42"/>
    <x v="0"/>
  </r>
  <r>
    <x v="0"/>
    <x v="14"/>
    <n v="42"/>
    <x v="0"/>
  </r>
  <r>
    <x v="0"/>
    <x v="15"/>
    <n v="30"/>
    <x v="1"/>
  </r>
  <r>
    <x v="0"/>
    <x v="16"/>
    <n v="24"/>
    <x v="1"/>
  </r>
  <r>
    <x v="0"/>
    <x v="17"/>
    <n v="14"/>
    <x v="1"/>
  </r>
  <r>
    <x v="0"/>
    <x v="18"/>
    <n v="75"/>
    <x v="1"/>
  </r>
  <r>
    <x v="0"/>
    <x v="19"/>
    <n v="96"/>
    <x v="1"/>
  </r>
  <r>
    <x v="1"/>
    <x v="20"/>
    <n v="78"/>
    <x v="0"/>
  </r>
  <r>
    <x v="2"/>
    <x v="21"/>
    <n v="51"/>
    <x v="0"/>
  </r>
  <r>
    <x v="1"/>
    <x v="22"/>
    <n v="78"/>
    <x v="0"/>
  </r>
  <r>
    <x v="1"/>
    <x v="23"/>
    <n v="35.5"/>
    <x v="1"/>
  </r>
  <r>
    <x v="1"/>
    <x v="24"/>
    <n v="41"/>
    <x v="0"/>
  </r>
  <r>
    <x v="2"/>
    <x v="25"/>
    <n v="51"/>
    <x v="1"/>
  </r>
  <r>
    <x v="1"/>
    <x v="26"/>
    <n v="52"/>
    <x v="0"/>
  </r>
  <r>
    <x v="1"/>
    <x v="27"/>
    <n v="62.5"/>
    <x v="0"/>
  </r>
  <r>
    <x v="1"/>
    <x v="27"/>
    <n v="67"/>
    <x v="1"/>
  </r>
  <r>
    <x v="1"/>
    <x v="28"/>
    <n v="36"/>
    <x v="1"/>
  </r>
  <r>
    <x v="1"/>
    <x v="29"/>
    <n v="36"/>
    <x v="0"/>
  </r>
  <r>
    <x v="2"/>
    <x v="30"/>
    <n v="72"/>
    <x v="0"/>
  </r>
  <r>
    <x v="1"/>
    <x v="31"/>
    <n v="37"/>
    <x v="0"/>
  </r>
  <r>
    <x v="1"/>
    <x v="32"/>
    <n v="48"/>
    <x v="0"/>
  </r>
  <r>
    <x v="1"/>
    <x v="33"/>
    <n v="15.5"/>
    <x v="0"/>
  </r>
  <r>
    <x v="1"/>
    <x v="33"/>
    <n v="62"/>
    <x v="0"/>
  </r>
  <r>
    <x v="2"/>
    <x v="34"/>
    <n v="99"/>
    <x v="0"/>
  </r>
  <r>
    <x v="1"/>
    <x v="35"/>
    <n v="41.5"/>
    <x v="0"/>
  </r>
  <r>
    <x v="1"/>
    <x v="36"/>
    <n v="57"/>
    <x v="1"/>
  </r>
  <r>
    <x v="1"/>
    <x v="37"/>
    <n v="30.5"/>
    <x v="0"/>
  </r>
  <r>
    <x v="2"/>
    <x v="38"/>
    <n v="108"/>
    <x v="1"/>
  </r>
  <r>
    <x v="1"/>
    <x v="39"/>
    <n v="21"/>
    <x v="0"/>
  </r>
  <r>
    <x v="1"/>
    <x v="39"/>
    <n v="57"/>
    <x v="0"/>
  </r>
  <r>
    <x v="1"/>
    <x v="39"/>
    <n v="96"/>
    <x v="0"/>
  </r>
  <r>
    <x v="2"/>
    <x v="40"/>
    <n v="111"/>
    <x v="1"/>
  </r>
  <r>
    <x v="1"/>
    <x v="41"/>
    <n v="41.5"/>
    <x v="0"/>
  </r>
  <r>
    <x v="1"/>
    <x v="42"/>
    <n v="47.5"/>
    <x v="1"/>
  </r>
  <r>
    <x v="1"/>
    <x v="43"/>
    <n v="48"/>
    <x v="0"/>
  </r>
  <r>
    <x v="2"/>
    <x v="44"/>
    <n v="78"/>
    <x v="1"/>
  </r>
  <r>
    <x v="2"/>
    <x v="45"/>
    <n v="54"/>
    <x v="1"/>
  </r>
  <r>
    <x v="2"/>
    <x v="45"/>
    <n v="48"/>
    <x v="0"/>
  </r>
  <r>
    <x v="1"/>
    <x v="46"/>
    <n v="62"/>
    <x v="1"/>
  </r>
  <r>
    <x v="2"/>
    <x v="47"/>
    <n v="99"/>
    <x v="1"/>
  </r>
  <r>
    <x v="1"/>
    <x v="48"/>
    <n v="62.5"/>
    <x v="0"/>
  </r>
  <r>
    <x v="1"/>
    <x v="49"/>
    <n v="51"/>
    <x v="0"/>
  </r>
  <r>
    <x v="1"/>
    <x v="50"/>
    <n v="72"/>
    <x v="0"/>
  </r>
  <r>
    <x v="2"/>
    <x v="51"/>
    <n v="54"/>
    <x v="1"/>
  </r>
  <r>
    <x v="2"/>
    <x v="52"/>
    <n v="60"/>
    <x v="0"/>
  </r>
  <r>
    <x v="1"/>
    <x v="53"/>
    <n v="30.5"/>
    <x v="1"/>
  </r>
  <r>
    <x v="2"/>
    <x v="53"/>
    <n v="93"/>
    <x v="0"/>
  </r>
  <r>
    <x v="2"/>
    <x v="54"/>
    <n v="99"/>
    <x v="0"/>
  </r>
  <r>
    <x v="2"/>
    <x v="55"/>
    <n v="33"/>
    <x v="1"/>
  </r>
  <r>
    <x v="1"/>
    <x v="56"/>
    <n v="51"/>
    <x v="0"/>
  </r>
  <r>
    <x v="1"/>
    <x v="57"/>
    <n v="30.5"/>
    <x v="0"/>
  </r>
  <r>
    <x v="1"/>
    <x v="58"/>
    <n v="114"/>
    <x v="1"/>
  </r>
  <r>
    <x v="2"/>
    <x v="59"/>
    <n v="93"/>
    <x v="0"/>
  </r>
  <r>
    <x v="1"/>
    <x v="60"/>
    <n v="57"/>
    <x v="1"/>
  </r>
  <r>
    <x v="2"/>
    <x v="61"/>
    <n v="96"/>
    <x v="0"/>
  </r>
  <r>
    <x v="2"/>
    <x v="61"/>
    <n v="102"/>
    <x v="0"/>
  </r>
  <r>
    <x v="1"/>
    <x v="62"/>
    <n v="40.5"/>
    <x v="0"/>
  </r>
  <r>
    <x v="2"/>
    <x v="63"/>
    <n v="48"/>
    <x v="0"/>
  </r>
  <r>
    <x v="1"/>
    <x v="64"/>
    <n v="47.5"/>
    <x v="0"/>
  </r>
  <r>
    <x v="1"/>
    <x v="65"/>
    <n v="67.5"/>
    <x v="0"/>
  </r>
  <r>
    <x v="1"/>
    <x v="66"/>
    <n v="42"/>
    <x v="1"/>
  </r>
  <r>
    <x v="2"/>
    <x v="67"/>
    <n v="54"/>
    <x v="1"/>
  </r>
  <r>
    <x v="2"/>
    <x v="68"/>
    <n v="39"/>
    <x v="0"/>
  </r>
  <r>
    <x v="2"/>
    <x v="68"/>
    <n v="42"/>
    <x v="1"/>
  </r>
  <r>
    <x v="1"/>
    <x v="69"/>
    <n v="55.5"/>
    <x v="1"/>
  </r>
  <r>
    <x v="1"/>
    <x v="70"/>
    <n v="51"/>
    <x v="0"/>
  </r>
  <r>
    <x v="1"/>
    <x v="71"/>
    <n v="67"/>
    <x v="1"/>
  </r>
  <r>
    <x v="1"/>
    <x v="71"/>
    <n v="42"/>
    <x v="0"/>
  </r>
  <r>
    <x v="1"/>
    <x v="72"/>
    <n v="84"/>
    <x v="1"/>
  </r>
  <r>
    <x v="2"/>
    <x v="73"/>
    <n v="96"/>
    <x v="1"/>
  </r>
  <r>
    <x v="1"/>
    <x v="74"/>
    <n v="47"/>
    <x v="0"/>
  </r>
  <r>
    <x v="1"/>
    <x v="75"/>
    <n v="41.5"/>
    <x v="0"/>
  </r>
  <r>
    <x v="1"/>
    <x v="76"/>
    <n v="55.5"/>
    <x v="1"/>
  </r>
  <r>
    <x v="1"/>
    <x v="76"/>
    <n v="54"/>
    <x v="1"/>
  </r>
  <r>
    <x v="1"/>
    <x v="77"/>
    <n v="42"/>
    <x v="1"/>
  </r>
  <r>
    <x v="1"/>
    <x v="78"/>
    <n v="40.5"/>
    <x v="1"/>
  </r>
  <r>
    <x v="1"/>
    <x v="79"/>
    <n v="87"/>
    <x v="0"/>
  </r>
  <r>
    <x v="1"/>
    <x v="80"/>
    <n v="36"/>
    <x v="0"/>
  </r>
  <r>
    <x v="1"/>
    <x v="81"/>
    <n v="42"/>
    <x v="0"/>
  </r>
  <r>
    <x v="2"/>
    <x v="82"/>
    <n v="39"/>
    <x v="0"/>
  </r>
  <r>
    <x v="1"/>
    <x v="83"/>
    <n v="45.5"/>
    <x v="0"/>
  </r>
  <r>
    <x v="1"/>
    <x v="84"/>
    <n v="52"/>
    <x v="0"/>
  </r>
  <r>
    <x v="1"/>
    <x v="84"/>
    <n v="72"/>
    <x v="1"/>
  </r>
  <r>
    <x v="2"/>
    <x v="85"/>
    <n v="67.5"/>
    <x v="0"/>
  </r>
  <r>
    <x v="2"/>
    <x v="86"/>
    <n v="62"/>
    <x v="0"/>
  </r>
  <r>
    <x v="2"/>
    <x v="87"/>
    <n v="41"/>
    <x v="1"/>
  </r>
  <r>
    <x v="2"/>
    <x v="88"/>
    <n v="52"/>
    <x v="1"/>
  </r>
  <r>
    <x v="2"/>
    <x v="89"/>
    <n v="50.5"/>
    <x v="0"/>
  </r>
  <r>
    <x v="2"/>
    <x v="90"/>
    <n v="45.5"/>
    <x v="1"/>
  </r>
  <r>
    <x v="2"/>
    <x v="91"/>
    <n v="42.5"/>
    <x v="1"/>
  </r>
  <r>
    <x v="2"/>
    <x v="92"/>
    <n v="57.5"/>
    <x v="1"/>
  </r>
  <r>
    <x v="2"/>
    <x v="93"/>
    <n v="47"/>
    <x v="0"/>
  </r>
  <r>
    <x v="2"/>
    <x v="94"/>
    <n v="31"/>
    <x v="1"/>
  </r>
  <r>
    <x v="2"/>
    <x v="95"/>
    <n v="45.5"/>
    <x v="0"/>
  </r>
  <r>
    <x v="2"/>
    <x v="96"/>
    <n v="30.5"/>
    <x v="0"/>
  </r>
  <r>
    <x v="2"/>
    <x v="97"/>
    <n v="67.5"/>
    <x v="1"/>
  </r>
  <r>
    <x v="2"/>
    <x v="98"/>
    <n v="52"/>
    <x v="0"/>
  </r>
  <r>
    <x v="2"/>
    <x v="99"/>
    <n v="55.5"/>
    <x v="0"/>
  </r>
  <r>
    <x v="2"/>
    <x v="100"/>
    <n v="50.5"/>
    <x v="1"/>
  </r>
  <r>
    <x v="2"/>
    <x v="101"/>
    <n v="52.5"/>
    <x v="0"/>
  </r>
  <r>
    <x v="2"/>
    <x v="102"/>
    <n v="35.5"/>
    <x v="0"/>
  </r>
  <r>
    <x v="2"/>
    <x v="103"/>
    <n v="47"/>
    <x v="0"/>
  </r>
  <r>
    <x v="2"/>
    <x v="104"/>
    <n v="52.5"/>
    <x v="1"/>
  </r>
  <r>
    <x v="2"/>
    <x v="105"/>
    <n v="41.5"/>
    <x v="0"/>
  </r>
  <r>
    <x v="2"/>
    <x v="106"/>
    <n v="40.5"/>
    <x v="1"/>
  </r>
  <r>
    <x v="0"/>
    <x v="107"/>
    <n v="57.5"/>
    <x v="1"/>
  </r>
  <r>
    <x v="0"/>
    <x v="108"/>
    <n v="41"/>
    <x v="0"/>
  </r>
  <r>
    <x v="0"/>
    <x v="109"/>
    <n v="36"/>
    <x v="0"/>
  </r>
  <r>
    <x v="0"/>
    <x v="110"/>
    <n v="26"/>
    <x v="0"/>
  </r>
  <r>
    <x v="0"/>
    <x v="111"/>
    <n v="35.5"/>
    <x v="0"/>
  </r>
  <r>
    <x v="0"/>
    <x v="112"/>
    <n v="72.5"/>
    <x v="0"/>
  </r>
  <r>
    <x v="0"/>
    <x v="113"/>
    <n v="67.5"/>
    <x v="0"/>
  </r>
  <r>
    <x v="0"/>
    <x v="114"/>
    <n v="72.5"/>
    <x v="0"/>
  </r>
  <r>
    <x v="0"/>
    <x v="115"/>
    <n v="56.5"/>
    <x v="1"/>
  </r>
  <r>
    <x v="0"/>
    <x v="116"/>
    <n v="40.5"/>
    <x v="0"/>
  </r>
  <r>
    <x v="0"/>
    <x v="117"/>
    <n v="57"/>
    <x v="0"/>
  </r>
  <r>
    <x v="0"/>
    <x v="118"/>
    <n v="40.5"/>
    <x v="1"/>
  </r>
  <r>
    <x v="0"/>
    <x v="119"/>
    <n v="62"/>
    <x v="0"/>
  </r>
  <r>
    <x v="0"/>
    <x v="120"/>
    <n v="52"/>
    <x v="0"/>
  </r>
  <r>
    <x v="0"/>
    <x v="121"/>
    <n v="61.5"/>
    <x v="0"/>
  </r>
  <r>
    <x v="0"/>
    <x v="122"/>
    <n v="46.5"/>
    <x v="0"/>
  </r>
  <r>
    <x v="0"/>
    <x v="123"/>
    <n v="20.5"/>
    <x v="0"/>
  </r>
  <r>
    <x v="0"/>
    <x v="124"/>
    <n v="61.5"/>
    <x v="1"/>
  </r>
  <r>
    <x v="0"/>
    <x v="125"/>
    <n v="46.5"/>
    <x v="0"/>
  </r>
  <r>
    <x v="0"/>
    <x v="126"/>
    <n v="45.5"/>
    <x v="0"/>
  </r>
  <r>
    <x v="0"/>
    <x v="127"/>
    <n v="57"/>
    <x v="0"/>
  </r>
  <r>
    <x v="0"/>
    <x v="128"/>
    <n v="67"/>
    <x v="1"/>
  </r>
  <r>
    <x v="0"/>
    <x v="129"/>
    <n v="51"/>
    <x v="0"/>
  </r>
  <r>
    <x v="0"/>
    <x v="130"/>
    <n v="36.5"/>
    <x v="0"/>
  </r>
  <r>
    <x v="0"/>
    <x v="130"/>
    <n v="57"/>
    <x v="1"/>
  </r>
  <r>
    <x v="0"/>
    <x v="131"/>
    <n v="35.5"/>
    <x v="0"/>
  </r>
  <r>
    <x v="0"/>
    <x v="132"/>
    <n v="52"/>
    <x v="0"/>
  </r>
  <r>
    <x v="0"/>
    <x v="133"/>
    <n v="26.5"/>
    <x v="1"/>
  </r>
  <r>
    <x v="0"/>
    <x v="134"/>
    <n v="52"/>
    <x v="0"/>
  </r>
  <r>
    <x v="0"/>
    <x v="135"/>
    <n v="47"/>
    <x v="1"/>
  </r>
  <r>
    <x v="0"/>
    <x v="136"/>
    <n v="67.5"/>
    <x v="0"/>
  </r>
  <r>
    <x v="0"/>
    <x v="137"/>
    <n v="57"/>
    <x v="0"/>
  </r>
  <r>
    <x v="0"/>
    <x v="138"/>
    <n v="62"/>
    <x v="1"/>
  </r>
  <r>
    <x v="0"/>
    <x v="139"/>
    <n v="5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CB550-2C6C-44CB-91A4-18B9FD360747}" name="Tabela dinâmica5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9:B24" firstHeaderRow="1" firstDataRow="1" firstDataCol="1"/>
  <pivotFields count="8">
    <pivotField showAll="0">
      <items count="4">
        <item x="0"/>
        <item x="2"/>
        <item x="1"/>
        <item t="default"/>
      </items>
    </pivotField>
    <pivotField axis="axisRow"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5">
    <field x="7"/>
    <field x="6"/>
    <field x="5"/>
    <field x="4"/>
    <field x="1"/>
  </rowFields>
  <rowItems count="5"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Soma de Valor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242C33-5DBE-4C37-AD51-D4A571930D3B}" name="Tabela dinâmica3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12:B16" firstHeaderRow="1" firstDataRow="1" firstDataCol="1"/>
  <pivotFields count="8">
    <pivotField axis="axisRow"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4A413D-CA3D-4198-89F4-B916002C6D7E}" name="Tabela dinâmica2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4">
  <location ref="A7:B10" firstHeaderRow="1" firstDataRow="1" firstDataCol="1"/>
  <pivotFields count="8">
    <pivotField showAll="0">
      <items count="4">
        <item x="0"/>
        <item x="2"/>
        <item x="1"/>
        <item t="default"/>
      </items>
    </pivotField>
    <pivotField numFmtId="22" showAll="0">
      <items count="141"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44" showAll="0"/>
    <pivotField axis="axisRow" showAll="0">
      <items count="3">
        <item x="0"/>
        <item x="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Valor" fld="2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ário" xr10:uid="{3BF27D4F-6077-4EFA-B6D8-11608199EDEF}" sourceName="Funcionário">
  <pivotTables>
    <pivotTable tabId="7" name="Tabela dinâmica2"/>
    <pivotTable tabId="7" name="Tabela dinâmica3"/>
    <pivotTable tabId="7" name="Tabela dinâmica5"/>
  </pivotTables>
  <data>
    <tabular pivotCacheId="167765330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FAFFEEC2-8DFF-4572-B175-56DD5ABE5F56}" sourceName="Tipo">
  <pivotTables>
    <pivotTable tabId="7" name="Tabela dinâmica2"/>
    <pivotTable tabId="7" name="Tabela dinâmica3"/>
    <pivotTable tabId="7" name="Tabela dinâmica5"/>
  </pivotTables>
  <data>
    <tabular pivotCacheId="1677653306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Horas__Quando" xr10:uid="{E377678F-8DA6-460A-B010-3EC4F25329BA}" sourceName="Horas (Quando)">
  <pivotTables>
    <pivotTable tabId="7" name="Tabela dinâmica2"/>
    <pivotTable tabId="7" name="Tabela dinâmica3"/>
    <pivotTable tabId="7" name="Tabela dinâmica5"/>
  </pivotTables>
  <data>
    <tabular pivotCacheId="1677653306">
      <items count="26">
        <i x="15" s="1"/>
        <i x="16" s="1"/>
        <i x="17" s="1"/>
        <i x="18" s="1"/>
        <i x="19" s="1"/>
        <i x="20" s="1"/>
        <i x="0" s="1" nd="1"/>
        <i x="25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21" s="1" nd="1"/>
        <i x="22" s="1" nd="1"/>
        <i x="23" s="1" nd="1"/>
        <i x="24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as__Quando" xr10:uid="{FF92A00B-7198-45B3-9A28-1A69A230B40C}" sourceName="Dias (Quando)">
  <pivotTables>
    <pivotTable tabId="7" name="Tabela dinâmica2"/>
    <pivotTable tabId="7" name="Tabela dinâmica3"/>
    <pivotTable tabId="7" name="Tabela dinâmica5"/>
  </pivotTables>
  <data>
    <tabular pivotCacheId="1677653306">
      <items count="368">
        <i x="219" s="1"/>
        <i x="220" s="1"/>
        <i x="221" s="1"/>
        <i x="222" s="1"/>
        <i x="0" s="1" nd="1"/>
        <i x="367" s="1" nd="1"/>
        <i x="92" s="1" nd="1"/>
        <i x="214" s="1" nd="1"/>
        <i x="336" s="1" nd="1"/>
        <i x="32" s="1" nd="1"/>
        <i x="1" s="1" nd="1"/>
        <i x="183" s="1" nd="1"/>
        <i x="153" s="1" nd="1"/>
        <i x="122" s="1" nd="1"/>
        <i x="61" s="1" nd="1"/>
        <i x="306" s="1" nd="1"/>
        <i x="275" s="1" nd="1"/>
        <i x="245" s="1" nd="1"/>
        <i x="93" s="1" nd="1"/>
        <i x="215" s="1" nd="1"/>
        <i x="337" s="1" nd="1"/>
        <i x="33" s="1" nd="1"/>
        <i x="2" s="1" nd="1"/>
        <i x="184" s="1" nd="1"/>
        <i x="154" s="1" nd="1"/>
        <i x="123" s="1" nd="1"/>
        <i x="62" s="1" nd="1"/>
        <i x="307" s="1" nd="1"/>
        <i x="276" s="1" nd="1"/>
        <i x="246" s="1" nd="1"/>
        <i x="94" s="1" nd="1"/>
        <i x="216" s="1" nd="1"/>
        <i x="338" s="1" nd="1"/>
        <i x="34" s="1" nd="1"/>
        <i x="3" s="1" nd="1"/>
        <i x="185" s="1" nd="1"/>
        <i x="155" s="1" nd="1"/>
        <i x="124" s="1" nd="1"/>
        <i x="63" s="1" nd="1"/>
        <i x="308" s="1" nd="1"/>
        <i x="277" s="1" nd="1"/>
        <i x="247" s="1" nd="1"/>
        <i x="95" s="1" nd="1"/>
        <i x="217" s="1" nd="1"/>
        <i x="339" s="1" nd="1"/>
        <i x="35" s="1" nd="1"/>
        <i x="4" s="1" nd="1"/>
        <i x="186" s="1" nd="1"/>
        <i x="156" s="1" nd="1"/>
        <i x="125" s="1" nd="1"/>
        <i x="64" s="1" nd="1"/>
        <i x="309" s="1" nd="1"/>
        <i x="278" s="1" nd="1"/>
        <i x="248" s="1" nd="1"/>
        <i x="96" s="1" nd="1"/>
        <i x="218" s="1" nd="1"/>
        <i x="340" s="1" nd="1"/>
        <i x="36" s="1" nd="1"/>
        <i x="5" s="1" nd="1"/>
        <i x="187" s="1" nd="1"/>
        <i x="157" s="1" nd="1"/>
        <i x="126" s="1" nd="1"/>
        <i x="65" s="1" nd="1"/>
        <i x="310" s="1" nd="1"/>
        <i x="279" s="1" nd="1"/>
        <i x="249" s="1" nd="1"/>
        <i x="97" s="1" nd="1"/>
        <i x="341" s="1" nd="1"/>
        <i x="37" s="1" nd="1"/>
        <i x="6" s="1" nd="1"/>
        <i x="188" s="1" nd="1"/>
        <i x="158" s="1" nd="1"/>
        <i x="127" s="1" nd="1"/>
        <i x="66" s="1" nd="1"/>
        <i x="311" s="1" nd="1"/>
        <i x="280" s="1" nd="1"/>
        <i x="250" s="1" nd="1"/>
        <i x="98" s="1" nd="1"/>
        <i x="342" s="1" nd="1"/>
        <i x="38" s="1" nd="1"/>
        <i x="7" s="1" nd="1"/>
        <i x="189" s="1" nd="1"/>
        <i x="159" s="1" nd="1"/>
        <i x="128" s="1" nd="1"/>
        <i x="67" s="1" nd="1"/>
        <i x="312" s="1" nd="1"/>
        <i x="281" s="1" nd="1"/>
        <i x="251" s="1" nd="1"/>
        <i x="99" s="1" nd="1"/>
        <i x="343" s="1" nd="1"/>
        <i x="39" s="1" nd="1"/>
        <i x="8" s="1" nd="1"/>
        <i x="190" s="1" nd="1"/>
        <i x="160" s="1" nd="1"/>
        <i x="129" s="1" nd="1"/>
        <i x="68" s="1" nd="1"/>
        <i x="313" s="1" nd="1"/>
        <i x="282" s="1" nd="1"/>
        <i x="252" s="1" nd="1"/>
        <i x="100" s="1" nd="1"/>
        <i x="344" s="1" nd="1"/>
        <i x="40" s="1" nd="1"/>
        <i x="9" s="1" nd="1"/>
        <i x="191" s="1" nd="1"/>
        <i x="161" s="1" nd="1"/>
        <i x="130" s="1" nd="1"/>
        <i x="69" s="1" nd="1"/>
        <i x="314" s="1" nd="1"/>
        <i x="283" s="1" nd="1"/>
        <i x="253" s="1" nd="1"/>
        <i x="101" s="1" nd="1"/>
        <i x="223" s="1" nd="1"/>
        <i x="345" s="1" nd="1"/>
        <i x="41" s="1" nd="1"/>
        <i x="10" s="1" nd="1"/>
        <i x="192" s="1" nd="1"/>
        <i x="162" s="1" nd="1"/>
        <i x="131" s="1" nd="1"/>
        <i x="70" s="1" nd="1"/>
        <i x="315" s="1" nd="1"/>
        <i x="284" s="1" nd="1"/>
        <i x="254" s="1" nd="1"/>
        <i x="102" s="1" nd="1"/>
        <i x="224" s="1" nd="1"/>
        <i x="346" s="1" nd="1"/>
        <i x="42" s="1" nd="1"/>
        <i x="11" s="1" nd="1"/>
        <i x="193" s="1" nd="1"/>
        <i x="163" s="1" nd="1"/>
        <i x="132" s="1" nd="1"/>
        <i x="71" s="1" nd="1"/>
        <i x="316" s="1" nd="1"/>
        <i x="285" s="1" nd="1"/>
        <i x="255" s="1" nd="1"/>
        <i x="103" s="1" nd="1"/>
        <i x="225" s="1" nd="1"/>
        <i x="347" s="1" nd="1"/>
        <i x="43" s="1" nd="1"/>
        <i x="12" s="1" nd="1"/>
        <i x="194" s="1" nd="1"/>
        <i x="164" s="1" nd="1"/>
        <i x="133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3" s="1" nd="1"/>
        <i x="195" s="1" nd="1"/>
        <i x="165" s="1" nd="1"/>
        <i x="134" s="1" nd="1"/>
        <i x="73" s="1" nd="1"/>
        <i x="318" s="1" nd="1"/>
        <i x="287" s="1" nd="1"/>
        <i x="257" s="1" nd="1"/>
        <i x="105" s="1" nd="1"/>
        <i x="227" s="1" nd="1"/>
        <i x="349" s="1" nd="1"/>
        <i x="45" s="1" nd="1"/>
        <i x="14" s="1" nd="1"/>
        <i x="196" s="1" nd="1"/>
        <i x="166" s="1" nd="1"/>
        <i x="135" s="1" nd="1"/>
        <i x="74" s="1" nd="1"/>
        <i x="319" s="1" nd="1"/>
        <i x="288" s="1" nd="1"/>
        <i x="258" s="1" nd="1"/>
        <i x="106" s="1" nd="1"/>
        <i x="228" s="1" nd="1"/>
        <i x="350" s="1" nd="1"/>
        <i x="46" s="1" nd="1"/>
        <i x="15" s="1" nd="1"/>
        <i x="197" s="1" nd="1"/>
        <i x="167" s="1" nd="1"/>
        <i x="136" s="1" nd="1"/>
        <i x="75" s="1" nd="1"/>
        <i x="320" s="1" nd="1"/>
        <i x="289" s="1" nd="1"/>
        <i x="259" s="1" nd="1"/>
        <i x="107" s="1" nd="1"/>
        <i x="229" s="1" nd="1"/>
        <i x="351" s="1" nd="1"/>
        <i x="47" s="1" nd="1"/>
        <i x="16" s="1" nd="1"/>
        <i x="198" s="1" nd="1"/>
        <i x="168" s="1" nd="1"/>
        <i x="137" s="1" nd="1"/>
        <i x="76" s="1" nd="1"/>
        <i x="321" s="1" nd="1"/>
        <i x="290" s="1" nd="1"/>
        <i x="260" s="1" nd="1"/>
        <i x="108" s="1" nd="1"/>
        <i x="230" s="1" nd="1"/>
        <i x="352" s="1" nd="1"/>
        <i x="48" s="1" nd="1"/>
        <i x="17" s="1" nd="1"/>
        <i x="199" s="1" nd="1"/>
        <i x="169" s="1" nd="1"/>
        <i x="138" s="1" nd="1"/>
        <i x="77" s="1" nd="1"/>
        <i x="322" s="1" nd="1"/>
        <i x="291" s="1" nd="1"/>
        <i x="261" s="1" nd="1"/>
        <i x="109" s="1" nd="1"/>
        <i x="231" s="1" nd="1"/>
        <i x="353" s="1" nd="1"/>
        <i x="49" s="1" nd="1"/>
        <i x="18" s="1" nd="1"/>
        <i x="200" s="1" nd="1"/>
        <i x="170" s="1" nd="1"/>
        <i x="139" s="1" nd="1"/>
        <i x="78" s="1" nd="1"/>
        <i x="323" s="1" nd="1"/>
        <i x="292" s="1" nd="1"/>
        <i x="262" s="1" nd="1"/>
        <i x="110" s="1" nd="1"/>
        <i x="232" s="1" nd="1"/>
        <i x="354" s="1" nd="1"/>
        <i x="50" s="1" nd="1"/>
        <i x="19" s="1" nd="1"/>
        <i x="201" s="1" nd="1"/>
        <i x="171" s="1" nd="1"/>
        <i x="140" s="1" nd="1"/>
        <i x="79" s="1" nd="1"/>
        <i x="324" s="1" nd="1"/>
        <i x="293" s="1" nd="1"/>
        <i x="263" s="1" nd="1"/>
        <i x="111" s="1" nd="1"/>
        <i x="233" s="1" nd="1"/>
        <i x="355" s="1" nd="1"/>
        <i x="51" s="1" nd="1"/>
        <i x="20" s="1" nd="1"/>
        <i x="202" s="1" nd="1"/>
        <i x="172" s="1" nd="1"/>
        <i x="141" s="1" nd="1"/>
        <i x="80" s="1" nd="1"/>
        <i x="325" s="1" nd="1"/>
        <i x="294" s="1" nd="1"/>
        <i x="264" s="1" nd="1"/>
        <i x="112" s="1" nd="1"/>
        <i x="234" s="1" nd="1"/>
        <i x="356" s="1" nd="1"/>
        <i x="52" s="1" nd="1"/>
        <i x="21" s="1" nd="1"/>
        <i x="203" s="1" nd="1"/>
        <i x="173" s="1" nd="1"/>
        <i x="142" s="1" nd="1"/>
        <i x="81" s="1" nd="1"/>
        <i x="326" s="1" nd="1"/>
        <i x="295" s="1" nd="1"/>
        <i x="265" s="1" nd="1"/>
        <i x="113" s="1" nd="1"/>
        <i x="235" s="1" nd="1"/>
        <i x="357" s="1" nd="1"/>
        <i x="53" s="1" nd="1"/>
        <i x="22" s="1" nd="1"/>
        <i x="204" s="1" nd="1"/>
        <i x="174" s="1" nd="1"/>
        <i x="143" s="1" nd="1"/>
        <i x="82" s="1" nd="1"/>
        <i x="327" s="1" nd="1"/>
        <i x="296" s="1" nd="1"/>
        <i x="266" s="1" nd="1"/>
        <i x="114" s="1" nd="1"/>
        <i x="236" s="1" nd="1"/>
        <i x="358" s="1" nd="1"/>
        <i x="54" s="1" nd="1"/>
        <i x="23" s="1" nd="1"/>
        <i x="205" s="1" nd="1"/>
        <i x="175" s="1" nd="1"/>
        <i x="144" s="1" nd="1"/>
        <i x="83" s="1" nd="1"/>
        <i x="328" s="1" nd="1"/>
        <i x="297" s="1" nd="1"/>
        <i x="267" s="1" nd="1"/>
        <i x="115" s="1" nd="1"/>
        <i x="237" s="1" nd="1"/>
        <i x="359" s="1" nd="1"/>
        <i x="55" s="1" nd="1"/>
        <i x="24" s="1" nd="1"/>
        <i x="206" s="1" nd="1"/>
        <i x="176" s="1" nd="1"/>
        <i x="145" s="1" nd="1"/>
        <i x="84" s="1" nd="1"/>
        <i x="329" s="1" nd="1"/>
        <i x="298" s="1" nd="1"/>
        <i x="268" s="1" nd="1"/>
        <i x="116" s="1" nd="1"/>
        <i x="238" s="1" nd="1"/>
        <i x="360" s="1" nd="1"/>
        <i x="56" s="1" nd="1"/>
        <i x="25" s="1" nd="1"/>
        <i x="207" s="1" nd="1"/>
        <i x="177" s="1" nd="1"/>
        <i x="146" s="1" nd="1"/>
        <i x="85" s="1" nd="1"/>
        <i x="330" s="1" nd="1"/>
        <i x="299" s="1" nd="1"/>
        <i x="269" s="1" nd="1"/>
        <i x="117" s="1" nd="1"/>
        <i x="239" s="1" nd="1"/>
        <i x="361" s="1" nd="1"/>
        <i x="57" s="1" nd="1"/>
        <i x="26" s="1" nd="1"/>
        <i x="208" s="1" nd="1"/>
        <i x="178" s="1" nd="1"/>
        <i x="147" s="1" nd="1"/>
        <i x="86" s="1" nd="1"/>
        <i x="331" s="1" nd="1"/>
        <i x="300" s="1" nd="1"/>
        <i x="270" s="1" nd="1"/>
        <i x="118" s="1" nd="1"/>
        <i x="240" s="1" nd="1"/>
        <i x="362" s="1" nd="1"/>
        <i x="58" s="1" nd="1"/>
        <i x="27" s="1" nd="1"/>
        <i x="209" s="1" nd="1"/>
        <i x="179" s="1" nd="1"/>
        <i x="148" s="1" nd="1"/>
        <i x="87" s="1" nd="1"/>
        <i x="332" s="1" nd="1"/>
        <i x="301" s="1" nd="1"/>
        <i x="271" s="1" nd="1"/>
        <i x="119" s="1" nd="1"/>
        <i x="241" s="1" nd="1"/>
        <i x="363" s="1" nd="1"/>
        <i x="59" s="1" nd="1"/>
        <i x="28" s="1" nd="1"/>
        <i x="210" s="1" nd="1"/>
        <i x="180" s="1" nd="1"/>
        <i x="149" s="1" nd="1"/>
        <i x="88" s="1" nd="1"/>
        <i x="333" s="1" nd="1"/>
        <i x="302" s="1" nd="1"/>
        <i x="272" s="1" nd="1"/>
        <i x="120" s="1" nd="1"/>
        <i x="242" s="1" nd="1"/>
        <i x="364" s="1" nd="1"/>
        <i x="60" s="1" nd="1"/>
        <i x="29" s="1" nd="1"/>
        <i x="211" s="1" nd="1"/>
        <i x="181" s="1" nd="1"/>
        <i x="150" s="1" nd="1"/>
        <i x="89" s="1" nd="1"/>
        <i x="334" s="1" nd="1"/>
        <i x="303" s="1" nd="1"/>
        <i x="273" s="1" nd="1"/>
        <i x="121" s="1" nd="1"/>
        <i x="243" s="1" nd="1"/>
        <i x="365" s="1" nd="1"/>
        <i x="30" s="1" nd="1"/>
        <i x="212" s="1" nd="1"/>
        <i x="182" s="1" nd="1"/>
        <i x="151" s="1" nd="1"/>
        <i x="90" s="1" nd="1"/>
        <i x="335" s="1" nd="1"/>
        <i x="304" s="1" nd="1"/>
        <i x="274" s="1" nd="1"/>
        <i x="244" s="1" nd="1"/>
        <i x="366" s="1" nd="1"/>
        <i x="31" s="1" nd="1"/>
        <i x="213" s="1" nd="1"/>
        <i x="152" s="1" nd="1"/>
        <i x="91" s="1" nd="1"/>
        <i x="30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cionário" xr10:uid="{09CCB9D2-624B-4A23-93D6-F36C673DEB86}" cache="SegmentaçãodeDados_Funcionário" caption="Funcionário" style="SlicerStyleDark2" rowHeight="241300"/>
  <slicer name="Tipo" xr10:uid="{567A3053-6AC8-436F-AB40-7EDFE024C584}" cache="SegmentaçãodeDados_Tipo" caption="Tipo" style="SlicerStyleDark4" rowHeight="241300"/>
  <slicer name="Horas (Quando)" xr10:uid="{B03190D2-AD86-437A-898B-365E3358BD7E}" cache="SegmentaçãodeDados_Horas__Quando" caption="Horas (Quando)" style="SlicerStyleDark6" rowHeight="241300"/>
  <slicer name="Dias (Quando)" xr10:uid="{CEA20387-C3AA-4B20-A841-254C04AD0629}" cache="SegmentaçãodeDados_Dias__Quando" caption="Dias (Quando)" style="SlicerStyleDark1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Quando" xr10:uid="{E5D83AD3-3168-4975-9679-DF8B33DDA754}" sourceName="Quando">
  <pivotTables>
    <pivotTable tabId="7" name="Tabela dinâmica5"/>
    <pivotTable tabId="7" name="Tabela dinâmica2"/>
    <pivotTable tabId="7" name="Tabela dinâmica3"/>
  </pivotTables>
  <state minimalRefreshVersion="6" lastRefreshVersion="6" pivotCacheId="1677653306" filterType="unknown">
    <bounds startDate="2023-01-01T14:32:38" endDate="2024-01-01T19:00:29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Quando" xr10:uid="{0BF3F45C-E830-4FDA-B863-40D7EA9F93DE}" cache="NativeTimeline_Quando" caption="Quando" level="3" selectionLevel="3" scrollPosition="2023-08-06T00:00:00" style="TimeSlicerStyleDark3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H18"/>
  <sheetViews>
    <sheetView showGridLines="0" zoomScale="130" zoomScaleNormal="130" workbookViewId="0">
      <selection activeCell="H22" sqref="H22"/>
    </sheetView>
  </sheetViews>
  <sheetFormatPr defaultRowHeight="15" x14ac:dyDescent="0.25"/>
  <cols>
    <col min="1" max="1" width="20.7109375" bestFit="1" customWidth="1"/>
    <col min="2" max="4" width="17.42578125" customWidth="1"/>
    <col min="5" max="6" width="18.140625" customWidth="1"/>
  </cols>
  <sheetData>
    <row r="1" spans="1:8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</row>
    <row r="2" spans="1:8" s="5" customFormat="1" ht="18.75" x14ac:dyDescent="0.3">
      <c r="A2" s="4" t="s">
        <v>1</v>
      </c>
    </row>
    <row r="3" spans="1:8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8" x14ac:dyDescent="0.25">
      <c r="B4" s="13"/>
      <c r="C4" s="9">
        <f>VLOOKUP(A4,cardapio!$A$4:$B$25,2,0)</f>
        <v>0</v>
      </c>
      <c r="D4" s="9">
        <f>B4*C4</f>
        <v>0</v>
      </c>
    </row>
    <row r="5" spans="1:8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8" x14ac:dyDescent="0.25">
      <c r="B6" s="13"/>
      <c r="C6" s="9">
        <f>VLOOKUP(A6,cardapio!$A$4:$B$25,2,0)</f>
        <v>0</v>
      </c>
      <c r="D6" s="9">
        <f t="shared" si="0"/>
        <v>0</v>
      </c>
    </row>
    <row r="7" spans="1:8" x14ac:dyDescent="0.25">
      <c r="B7" s="13"/>
      <c r="C7" s="9">
        <f>VLOOKUP(A7,cardapio!$A$4:$B$25,2,0)</f>
        <v>0</v>
      </c>
      <c r="D7" s="9">
        <f t="shared" si="0"/>
        <v>0</v>
      </c>
    </row>
    <row r="8" spans="1:8" x14ac:dyDescent="0.25">
      <c r="B8" s="13"/>
      <c r="C8" s="9">
        <f>VLOOKUP(A8,cardapio!$A$4:$B$25,2,0)</f>
        <v>0</v>
      </c>
      <c r="D8" s="9">
        <f t="shared" si="0"/>
        <v>0</v>
      </c>
    </row>
    <row r="9" spans="1:8" x14ac:dyDescent="0.25">
      <c r="B9" s="13"/>
      <c r="C9" s="9">
        <f>VLOOKUP(A9,cardapio!$A$4:$B$25,2,0)</f>
        <v>0</v>
      </c>
      <c r="D9" s="9">
        <f t="shared" si="0"/>
        <v>0</v>
      </c>
    </row>
    <row r="10" spans="1:8" x14ac:dyDescent="0.25">
      <c r="B10" s="13"/>
      <c r="C10" s="9">
        <f>VLOOKUP(A10,cardapio!$A$4:$B$25,2,0)</f>
        <v>0</v>
      </c>
      <c r="D10" s="9">
        <f t="shared" si="0"/>
        <v>0</v>
      </c>
    </row>
    <row r="11" spans="1:8" x14ac:dyDescent="0.25">
      <c r="B11" s="13"/>
      <c r="C11" s="9">
        <f>VLOOKUP(A11,cardapio!$A$4:$B$25,2,0)</f>
        <v>0</v>
      </c>
      <c r="D11" s="9">
        <f t="shared" si="0"/>
        <v>0</v>
      </c>
    </row>
    <row r="12" spans="1:8" x14ac:dyDescent="0.25">
      <c r="B12" s="13"/>
      <c r="C12" s="9">
        <f>VLOOKUP(A12,cardapio!$A$4:$B$25,2,0)</f>
        <v>0</v>
      </c>
      <c r="D12" s="9">
        <f t="shared" si="0"/>
        <v>0</v>
      </c>
    </row>
    <row r="13" spans="1:8" x14ac:dyDescent="0.25">
      <c r="B13" s="13"/>
      <c r="C13" s="9">
        <f>VLOOKUP(A13,cardapio!$A$4:$B$25,2,0)</f>
        <v>0</v>
      </c>
      <c r="D13" s="9">
        <f t="shared" si="0"/>
        <v>0</v>
      </c>
    </row>
    <row r="14" spans="1:8" x14ac:dyDescent="0.25">
      <c r="B14" s="13"/>
      <c r="C14" s="9">
        <f>VLOOKUP(A14,cardapio!$A$4:$B$25,2,0)</f>
        <v>0</v>
      </c>
      <c r="D14" s="9">
        <f t="shared" si="0"/>
        <v>0</v>
      </c>
    </row>
    <row r="15" spans="1:8" x14ac:dyDescent="0.25">
      <c r="B15" s="13"/>
      <c r="C15" s="9">
        <f>VLOOKUP(A15,cardapio!$A$4:$B$25,2,0)</f>
        <v>0</v>
      </c>
      <c r="D15" s="9">
        <f>B15*C15</f>
        <v>0</v>
      </c>
    </row>
    <row r="16" spans="1:8" ht="18.75" x14ac:dyDescent="0.3">
      <c r="A16" s="4" t="s">
        <v>25</v>
      </c>
      <c r="B16" s="12">
        <f>SUM(B4:B15)</f>
        <v>0</v>
      </c>
      <c r="C16" s="4"/>
      <c r="D16" s="10">
        <f>SUM(D4:D15)</f>
        <v>0</v>
      </c>
    </row>
    <row r="17" spans="1:4" x14ac:dyDescent="0.25">
      <c r="A17" s="8" t="s">
        <v>36</v>
      </c>
      <c r="C17" t="s">
        <v>27</v>
      </c>
      <c r="D17" s="14"/>
    </row>
    <row r="18" spans="1:4" ht="18.75" x14ac:dyDescent="0.3">
      <c r="A18" s="17" t="s">
        <v>33</v>
      </c>
      <c r="C18" t="s">
        <v>28</v>
      </c>
      <c r="D18" s="11">
        <f>D17-D16</f>
        <v>0</v>
      </c>
    </row>
  </sheetData>
  <mergeCells count="1">
    <mergeCell ref="A1:H1"/>
  </mergeCells>
  <dataValidations count="1">
    <dataValidation type="decimal" allowBlank="1" showInputMessage="1" showErrorMessage="1" sqref="D17" xr:uid="{8ACB0A46-894B-4D3B-AE94-11F65FAB5C06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  <x14:dataValidation type="list" allowBlank="1" showInputMessage="1" showErrorMessage="1" xr:uid="{67F8E5B0-FE78-4BD7-AB04-623CDFBDA0C9}">
          <x14:formula1>
            <xm:f>cardapio!$D$3:$D$5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I24"/>
  <sheetViews>
    <sheetView showGridLines="0" zoomScale="145" zoomScaleNormal="145"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9.5703125" bestFit="1" customWidth="1"/>
    <col min="4" max="4" width="16" bestFit="1" customWidth="1"/>
  </cols>
  <sheetData>
    <row r="1" spans="1:9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  <c r="I1" s="22"/>
    </row>
    <row r="2" spans="1:9" s="5" customFormat="1" ht="18.75" x14ac:dyDescent="0.3">
      <c r="A2" s="4" t="s">
        <v>1</v>
      </c>
      <c r="D2" s="6" t="s">
        <v>32</v>
      </c>
    </row>
    <row r="3" spans="1:9" s="3" customFormat="1" x14ac:dyDescent="0.25">
      <c r="A3" s="6" t="s">
        <v>21</v>
      </c>
      <c r="B3" s="6" t="s">
        <v>22</v>
      </c>
      <c r="D3" s="18" t="s">
        <v>33</v>
      </c>
    </row>
    <row r="4" spans="1:9" x14ac:dyDescent="0.25">
      <c r="A4">
        <v>0</v>
      </c>
      <c r="B4" s="7">
        <v>0</v>
      </c>
      <c r="D4" s="19" t="s">
        <v>34</v>
      </c>
    </row>
    <row r="5" spans="1:9" x14ac:dyDescent="0.25">
      <c r="A5" t="s">
        <v>2</v>
      </c>
      <c r="B5" s="7">
        <v>5</v>
      </c>
      <c r="D5" s="19" t="s">
        <v>35</v>
      </c>
    </row>
    <row r="6" spans="1:9" x14ac:dyDescent="0.25">
      <c r="A6" t="s">
        <v>3</v>
      </c>
      <c r="B6" s="7">
        <v>5.5</v>
      </c>
    </row>
    <row r="7" spans="1:9" x14ac:dyDescent="0.25">
      <c r="A7" t="s">
        <v>4</v>
      </c>
      <c r="B7" s="7">
        <v>6</v>
      </c>
    </row>
    <row r="8" spans="1:9" x14ac:dyDescent="0.25">
      <c r="A8" t="s">
        <v>5</v>
      </c>
      <c r="B8" s="7">
        <v>6</v>
      </c>
    </row>
    <row r="9" spans="1:9" x14ac:dyDescent="0.25">
      <c r="A9" t="s">
        <v>6</v>
      </c>
      <c r="B9" s="7">
        <v>5.5</v>
      </c>
    </row>
    <row r="10" spans="1:9" x14ac:dyDescent="0.25">
      <c r="A10" t="s">
        <v>7</v>
      </c>
      <c r="B10" s="7">
        <v>6</v>
      </c>
    </row>
    <row r="11" spans="1:9" x14ac:dyDescent="0.25">
      <c r="A11" t="s">
        <v>8</v>
      </c>
      <c r="B11" s="7">
        <v>5</v>
      </c>
    </row>
    <row r="12" spans="1:9" x14ac:dyDescent="0.25">
      <c r="A12" t="s">
        <v>9</v>
      </c>
      <c r="B12" s="7">
        <v>5</v>
      </c>
    </row>
    <row r="13" spans="1:9" x14ac:dyDescent="0.25">
      <c r="A13" t="s">
        <v>12</v>
      </c>
      <c r="B13" s="7">
        <v>10</v>
      </c>
    </row>
    <row r="14" spans="1:9" x14ac:dyDescent="0.25">
      <c r="A14" t="s">
        <v>13</v>
      </c>
      <c r="B14" s="7">
        <v>15</v>
      </c>
    </row>
    <row r="15" spans="1:9" x14ac:dyDescent="0.25">
      <c r="A15" t="s">
        <v>10</v>
      </c>
      <c r="B15" s="7">
        <v>8</v>
      </c>
    </row>
    <row r="16" spans="1:9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D6"/>
  <sheetViews>
    <sheetView showGridLines="0" tabSelected="1" zoomScale="190" zoomScaleNormal="190" workbookViewId="0">
      <selection activeCell="A3" sqref="A3"/>
    </sheetView>
  </sheetViews>
  <sheetFormatPr defaultRowHeight="15" x14ac:dyDescent="0.25"/>
  <cols>
    <col min="1" max="1" width="15" customWidth="1"/>
    <col min="2" max="2" width="16.42578125" bestFit="1" customWidth="1"/>
    <col min="3" max="3" width="12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47</v>
      </c>
    </row>
    <row r="3" spans="1:4" s="3" customFormat="1" x14ac:dyDescent="0.25">
      <c r="A3" s="6" t="s">
        <v>36</v>
      </c>
      <c r="B3" s="6" t="s">
        <v>37</v>
      </c>
      <c r="C3" s="6" t="s">
        <v>29</v>
      </c>
      <c r="D3" s="6" t="s">
        <v>30</v>
      </c>
    </row>
    <row r="4" spans="1:4" s="15" customFormat="1" x14ac:dyDescent="0.25">
      <c r="C4" s="7"/>
    </row>
    <row r="5" spans="1:4" s="15" customFormat="1" x14ac:dyDescent="0.25">
      <c r="C5" s="7"/>
    </row>
    <row r="6" spans="1:4" s="15" customFormat="1" x14ac:dyDescent="0.25">
      <c r="C6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81E68-C0E5-4CA6-BD2D-615B170AB483}">
  <sheetPr codeName="Planilha4"/>
  <dimension ref="A1:J159"/>
  <sheetViews>
    <sheetView showGridLines="0" zoomScale="115" zoomScaleNormal="115" workbookViewId="0">
      <selection activeCell="E147" sqref="E147"/>
    </sheetView>
  </sheetViews>
  <sheetFormatPr defaultRowHeight="15" x14ac:dyDescent="0.25"/>
  <cols>
    <col min="1" max="1" width="20.7109375" bestFit="1" customWidth="1"/>
    <col min="2" max="2" width="17.5703125" bestFit="1" customWidth="1"/>
    <col min="3" max="3" width="11.140625" bestFit="1" customWidth="1"/>
    <col min="4" max="4" width="8.7109375" bestFit="1" customWidth="1"/>
    <col min="5" max="5" width="16.42578125" bestFit="1" customWidth="1"/>
  </cols>
  <sheetData>
    <row r="1" spans="1:10" s="1" customFormat="1" ht="31.5" x14ac:dyDescent="0.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s="5" customFormat="1" ht="18.75" x14ac:dyDescent="0.3">
      <c r="A2" s="4" t="s">
        <v>38</v>
      </c>
    </row>
    <row r="3" spans="1:10" s="3" customFormat="1" x14ac:dyDescent="0.25">
      <c r="A3" s="6" t="s">
        <v>36</v>
      </c>
      <c r="B3" s="6" t="s">
        <v>37</v>
      </c>
      <c r="C3" s="6" t="s">
        <v>29</v>
      </c>
      <c r="D3" s="6" t="s">
        <v>30</v>
      </c>
    </row>
    <row r="4" spans="1:10" x14ac:dyDescent="0.25">
      <c r="A4" t="s">
        <v>33</v>
      </c>
      <c r="B4" s="16">
        <v>45147.792000000001</v>
      </c>
      <c r="C4" s="7">
        <v>27</v>
      </c>
      <c r="D4" t="s">
        <v>31</v>
      </c>
    </row>
    <row r="5" spans="1:10" x14ac:dyDescent="0.25">
      <c r="A5" t="s">
        <v>33</v>
      </c>
      <c r="B5" s="16">
        <v>45147.775999999998</v>
      </c>
      <c r="C5" s="7">
        <v>12</v>
      </c>
      <c r="D5" t="s">
        <v>27</v>
      </c>
    </row>
    <row r="6" spans="1:10" x14ac:dyDescent="0.25">
      <c r="A6" t="s">
        <v>33</v>
      </c>
      <c r="B6" s="16">
        <v>45147.769</v>
      </c>
      <c r="C6" s="7">
        <v>39</v>
      </c>
      <c r="D6" t="s">
        <v>27</v>
      </c>
    </row>
    <row r="7" spans="1:10" x14ac:dyDescent="0.25">
      <c r="A7" t="s">
        <v>33</v>
      </c>
      <c r="B7" s="16">
        <v>45147.737999999998</v>
      </c>
      <c r="C7" s="7">
        <v>60</v>
      </c>
      <c r="D7" t="s">
        <v>27</v>
      </c>
    </row>
    <row r="8" spans="1:10" x14ac:dyDescent="0.25">
      <c r="A8" t="s">
        <v>33</v>
      </c>
      <c r="B8" s="16">
        <v>45147.735999999997</v>
      </c>
      <c r="C8" s="7">
        <v>78</v>
      </c>
      <c r="D8" t="s">
        <v>31</v>
      </c>
    </row>
    <row r="9" spans="1:10" x14ac:dyDescent="0.25">
      <c r="A9" t="s">
        <v>33</v>
      </c>
      <c r="B9" s="16">
        <v>45147.722999999998</v>
      </c>
      <c r="C9" s="7">
        <v>33</v>
      </c>
      <c r="D9" t="s">
        <v>27</v>
      </c>
    </row>
    <row r="10" spans="1:10" x14ac:dyDescent="0.25">
      <c r="A10" t="s">
        <v>33</v>
      </c>
      <c r="B10" s="16">
        <v>45147.716</v>
      </c>
      <c r="C10" s="7">
        <v>87</v>
      </c>
      <c r="D10" t="s">
        <v>31</v>
      </c>
    </row>
    <row r="11" spans="1:10" x14ac:dyDescent="0.25">
      <c r="A11" t="s">
        <v>33</v>
      </c>
      <c r="B11" s="16">
        <v>45147.712</v>
      </c>
      <c r="C11" s="7">
        <v>87</v>
      </c>
      <c r="D11" t="s">
        <v>31</v>
      </c>
    </row>
    <row r="12" spans="1:10" x14ac:dyDescent="0.25">
      <c r="A12" t="s">
        <v>33</v>
      </c>
      <c r="B12" s="16">
        <v>45147.703999999998</v>
      </c>
      <c r="C12" s="7">
        <v>45</v>
      </c>
      <c r="D12" t="s">
        <v>31</v>
      </c>
    </row>
    <row r="13" spans="1:10" x14ac:dyDescent="0.25">
      <c r="A13" t="s">
        <v>33</v>
      </c>
      <c r="B13" s="16">
        <v>45147.701999999997</v>
      </c>
      <c r="C13" s="7">
        <v>141</v>
      </c>
      <c r="D13" t="s">
        <v>31</v>
      </c>
    </row>
    <row r="14" spans="1:10" x14ac:dyDescent="0.25">
      <c r="A14" t="s">
        <v>33</v>
      </c>
      <c r="B14" s="16">
        <v>45147.688000000002</v>
      </c>
      <c r="C14" s="7">
        <v>14</v>
      </c>
      <c r="D14" t="s">
        <v>31</v>
      </c>
    </row>
    <row r="15" spans="1:10" x14ac:dyDescent="0.25">
      <c r="A15" t="s">
        <v>33</v>
      </c>
      <c r="B15" s="16">
        <v>45147.677000000003</v>
      </c>
      <c r="C15" s="7">
        <v>45</v>
      </c>
      <c r="D15" t="s">
        <v>31</v>
      </c>
    </row>
    <row r="16" spans="1:10" x14ac:dyDescent="0.25">
      <c r="A16" t="s">
        <v>33</v>
      </c>
      <c r="B16" s="16">
        <v>45147.654000000002</v>
      </c>
      <c r="C16" s="7">
        <v>72</v>
      </c>
      <c r="D16" t="s">
        <v>31</v>
      </c>
    </row>
    <row r="17" spans="1:4" x14ac:dyDescent="0.25">
      <c r="A17" t="s">
        <v>33</v>
      </c>
      <c r="B17" s="16">
        <v>45147.652000000002</v>
      </c>
      <c r="C17" s="7">
        <v>42</v>
      </c>
      <c r="D17" t="s">
        <v>31</v>
      </c>
    </row>
    <row r="18" spans="1:4" x14ac:dyDescent="0.25">
      <c r="A18" t="s">
        <v>33</v>
      </c>
      <c r="B18" s="16">
        <v>45147.65</v>
      </c>
      <c r="C18" s="7">
        <v>42</v>
      </c>
      <c r="D18" t="s">
        <v>31</v>
      </c>
    </row>
    <row r="19" spans="1:4" x14ac:dyDescent="0.25">
      <c r="A19" t="s">
        <v>33</v>
      </c>
      <c r="B19" s="16">
        <v>45147.646999999997</v>
      </c>
      <c r="C19" s="7">
        <v>30</v>
      </c>
      <c r="D19" t="s">
        <v>27</v>
      </c>
    </row>
    <row r="20" spans="1:4" x14ac:dyDescent="0.25">
      <c r="A20" t="s">
        <v>33</v>
      </c>
      <c r="B20" s="16">
        <v>45147.642</v>
      </c>
      <c r="C20" s="7">
        <v>24</v>
      </c>
      <c r="D20" t="s">
        <v>27</v>
      </c>
    </row>
    <row r="21" spans="1:4" x14ac:dyDescent="0.25">
      <c r="A21" t="s">
        <v>33</v>
      </c>
      <c r="B21" s="16">
        <v>45147.641000000003</v>
      </c>
      <c r="C21" s="7">
        <v>14</v>
      </c>
      <c r="D21" t="s">
        <v>27</v>
      </c>
    </row>
    <row r="22" spans="1:4" x14ac:dyDescent="0.25">
      <c r="A22" t="s">
        <v>33</v>
      </c>
      <c r="B22" s="16">
        <v>45147.635999999999</v>
      </c>
      <c r="C22" s="7">
        <v>75</v>
      </c>
      <c r="D22" t="s">
        <v>27</v>
      </c>
    </row>
    <row r="23" spans="1:4" x14ac:dyDescent="0.25">
      <c r="A23" t="s">
        <v>33</v>
      </c>
      <c r="B23" s="16">
        <v>45147.601999999999</v>
      </c>
      <c r="C23" s="7">
        <v>96</v>
      </c>
      <c r="D23" t="s">
        <v>27</v>
      </c>
    </row>
    <row r="24" spans="1:4" x14ac:dyDescent="0.25">
      <c r="A24" t="s">
        <v>35</v>
      </c>
      <c r="B24" s="16">
        <v>45146.8</v>
      </c>
      <c r="C24" s="7">
        <v>78</v>
      </c>
      <c r="D24" t="s">
        <v>31</v>
      </c>
    </row>
    <row r="25" spans="1:4" x14ac:dyDescent="0.25">
      <c r="A25" t="s">
        <v>34</v>
      </c>
      <c r="B25" s="16">
        <v>45146.794000000002</v>
      </c>
      <c r="C25" s="7">
        <v>51</v>
      </c>
      <c r="D25" t="s">
        <v>31</v>
      </c>
    </row>
    <row r="26" spans="1:4" x14ac:dyDescent="0.25">
      <c r="A26" t="s">
        <v>35</v>
      </c>
      <c r="B26" s="16">
        <v>45146.792000000001</v>
      </c>
      <c r="C26" s="7">
        <v>78</v>
      </c>
      <c r="D26" t="s">
        <v>31</v>
      </c>
    </row>
    <row r="27" spans="1:4" x14ac:dyDescent="0.25">
      <c r="A27" t="s">
        <v>35</v>
      </c>
      <c r="B27" s="16">
        <v>45146.790999999997</v>
      </c>
      <c r="C27" s="7">
        <v>35.5</v>
      </c>
      <c r="D27" t="s">
        <v>27</v>
      </c>
    </row>
    <row r="28" spans="1:4" x14ac:dyDescent="0.25">
      <c r="A28" t="s">
        <v>35</v>
      </c>
      <c r="B28" s="16">
        <v>45146.788999999997</v>
      </c>
      <c r="C28" s="7">
        <v>41</v>
      </c>
      <c r="D28" t="s">
        <v>31</v>
      </c>
    </row>
    <row r="29" spans="1:4" x14ac:dyDescent="0.25">
      <c r="A29" t="s">
        <v>34</v>
      </c>
      <c r="B29" s="16">
        <v>45146.785000000003</v>
      </c>
      <c r="C29" s="7">
        <v>51</v>
      </c>
      <c r="D29" t="s">
        <v>27</v>
      </c>
    </row>
    <row r="30" spans="1:4" x14ac:dyDescent="0.25">
      <c r="A30" t="s">
        <v>35</v>
      </c>
      <c r="B30" s="16">
        <v>45146.777999999998</v>
      </c>
      <c r="C30" s="7">
        <v>52</v>
      </c>
      <c r="D30" t="s">
        <v>31</v>
      </c>
    </row>
    <row r="31" spans="1:4" x14ac:dyDescent="0.25">
      <c r="A31" t="s">
        <v>35</v>
      </c>
      <c r="B31" s="16">
        <v>45146.775999999998</v>
      </c>
      <c r="C31" s="7">
        <v>62.5</v>
      </c>
      <c r="D31" t="s">
        <v>31</v>
      </c>
    </row>
    <row r="32" spans="1:4" x14ac:dyDescent="0.25">
      <c r="A32" t="s">
        <v>35</v>
      </c>
      <c r="B32" s="16">
        <v>45146.775999999998</v>
      </c>
      <c r="C32" s="7">
        <v>67</v>
      </c>
      <c r="D32" t="s">
        <v>27</v>
      </c>
    </row>
    <row r="33" spans="1:4" x14ac:dyDescent="0.25">
      <c r="A33" t="s">
        <v>35</v>
      </c>
      <c r="B33" s="16">
        <v>45146.771999999997</v>
      </c>
      <c r="C33" s="7">
        <v>36</v>
      </c>
      <c r="D33" t="s">
        <v>27</v>
      </c>
    </row>
    <row r="34" spans="1:4" x14ac:dyDescent="0.25">
      <c r="A34" t="s">
        <v>35</v>
      </c>
      <c r="B34" s="16">
        <v>45146.77</v>
      </c>
      <c r="C34" s="7">
        <v>36</v>
      </c>
      <c r="D34" t="s">
        <v>31</v>
      </c>
    </row>
    <row r="35" spans="1:4" x14ac:dyDescent="0.25">
      <c r="A35" t="s">
        <v>34</v>
      </c>
      <c r="B35" s="16">
        <v>45146.766000000003</v>
      </c>
      <c r="C35" s="7">
        <v>72</v>
      </c>
      <c r="D35" t="s">
        <v>31</v>
      </c>
    </row>
    <row r="36" spans="1:4" x14ac:dyDescent="0.25">
      <c r="A36" t="s">
        <v>35</v>
      </c>
      <c r="B36" s="16">
        <v>45146.764999999999</v>
      </c>
      <c r="C36" s="7">
        <v>37</v>
      </c>
      <c r="D36" t="s">
        <v>31</v>
      </c>
    </row>
    <row r="37" spans="1:4" x14ac:dyDescent="0.25">
      <c r="A37" t="s">
        <v>35</v>
      </c>
      <c r="B37" s="16">
        <v>45146.762000000002</v>
      </c>
      <c r="C37" s="7">
        <v>48</v>
      </c>
      <c r="D37" t="s">
        <v>31</v>
      </c>
    </row>
    <row r="38" spans="1:4" x14ac:dyDescent="0.25">
      <c r="A38" t="s">
        <v>35</v>
      </c>
      <c r="B38" s="16">
        <v>45146.758999999998</v>
      </c>
      <c r="C38" s="7">
        <v>15.5</v>
      </c>
      <c r="D38" t="s">
        <v>31</v>
      </c>
    </row>
    <row r="39" spans="1:4" x14ac:dyDescent="0.25">
      <c r="A39" t="s">
        <v>35</v>
      </c>
      <c r="B39" s="16">
        <v>45146.758999999998</v>
      </c>
      <c r="C39" s="7">
        <v>62</v>
      </c>
      <c r="D39" t="s">
        <v>31</v>
      </c>
    </row>
    <row r="40" spans="1:4" x14ac:dyDescent="0.25">
      <c r="A40" t="s">
        <v>34</v>
      </c>
      <c r="B40" s="16">
        <v>45146.756999999998</v>
      </c>
      <c r="C40" s="7">
        <v>99</v>
      </c>
      <c r="D40" t="s">
        <v>31</v>
      </c>
    </row>
    <row r="41" spans="1:4" x14ac:dyDescent="0.25">
      <c r="A41" t="s">
        <v>35</v>
      </c>
      <c r="B41" s="16">
        <v>45146.756000000001</v>
      </c>
      <c r="C41" s="7">
        <v>41.5</v>
      </c>
      <c r="D41" t="s">
        <v>31</v>
      </c>
    </row>
    <row r="42" spans="1:4" x14ac:dyDescent="0.25">
      <c r="A42" t="s">
        <v>35</v>
      </c>
      <c r="B42" s="16">
        <v>45146.754000000001</v>
      </c>
      <c r="C42" s="7">
        <v>57</v>
      </c>
      <c r="D42" t="s">
        <v>27</v>
      </c>
    </row>
    <row r="43" spans="1:4" x14ac:dyDescent="0.25">
      <c r="A43" t="s">
        <v>35</v>
      </c>
      <c r="B43" s="16">
        <v>45146.75</v>
      </c>
      <c r="C43" s="7">
        <v>30.5</v>
      </c>
      <c r="D43" t="s">
        <v>31</v>
      </c>
    </row>
    <row r="44" spans="1:4" x14ac:dyDescent="0.25">
      <c r="A44" t="s">
        <v>34</v>
      </c>
      <c r="B44" s="16">
        <v>45146.749000000003</v>
      </c>
      <c r="C44" s="7">
        <v>108</v>
      </c>
      <c r="D44" t="s">
        <v>27</v>
      </c>
    </row>
    <row r="45" spans="1:4" x14ac:dyDescent="0.25">
      <c r="A45" t="s">
        <v>35</v>
      </c>
      <c r="B45" s="16">
        <v>45146.748</v>
      </c>
      <c r="C45" s="7">
        <v>21</v>
      </c>
      <c r="D45" t="s">
        <v>31</v>
      </c>
    </row>
    <row r="46" spans="1:4" x14ac:dyDescent="0.25">
      <c r="A46" t="s">
        <v>35</v>
      </c>
      <c r="B46" s="16">
        <v>45146.748</v>
      </c>
      <c r="C46" s="7">
        <v>57</v>
      </c>
      <c r="D46" t="s">
        <v>31</v>
      </c>
    </row>
    <row r="47" spans="1:4" x14ac:dyDescent="0.25">
      <c r="A47" t="s">
        <v>35</v>
      </c>
      <c r="B47" s="16">
        <v>45146.748</v>
      </c>
      <c r="C47" s="7">
        <v>96</v>
      </c>
      <c r="D47" t="s">
        <v>31</v>
      </c>
    </row>
    <row r="48" spans="1:4" x14ac:dyDescent="0.25">
      <c r="A48" t="s">
        <v>34</v>
      </c>
      <c r="B48" s="16">
        <v>45146.743999999999</v>
      </c>
      <c r="C48" s="7">
        <v>111</v>
      </c>
      <c r="D48" t="s">
        <v>27</v>
      </c>
    </row>
    <row r="49" spans="1:4" x14ac:dyDescent="0.25">
      <c r="A49" t="s">
        <v>35</v>
      </c>
      <c r="B49" s="16">
        <v>45146.743000000002</v>
      </c>
      <c r="C49" s="7">
        <v>41.5</v>
      </c>
      <c r="D49" t="s">
        <v>31</v>
      </c>
    </row>
    <row r="50" spans="1:4" x14ac:dyDescent="0.25">
      <c r="A50" t="s">
        <v>35</v>
      </c>
      <c r="B50" s="16">
        <v>45146.74</v>
      </c>
      <c r="C50" s="7">
        <v>47.5</v>
      </c>
      <c r="D50" t="s">
        <v>27</v>
      </c>
    </row>
    <row r="51" spans="1:4" x14ac:dyDescent="0.25">
      <c r="A51" t="s">
        <v>35</v>
      </c>
      <c r="B51" s="16">
        <v>45146.735000000001</v>
      </c>
      <c r="C51" s="7">
        <v>48</v>
      </c>
      <c r="D51" t="s">
        <v>31</v>
      </c>
    </row>
    <row r="52" spans="1:4" x14ac:dyDescent="0.25">
      <c r="A52" t="s">
        <v>34</v>
      </c>
      <c r="B52" s="16">
        <v>45146.733999999997</v>
      </c>
      <c r="C52" s="7">
        <v>78</v>
      </c>
      <c r="D52" t="s">
        <v>27</v>
      </c>
    </row>
    <row r="53" spans="1:4" x14ac:dyDescent="0.25">
      <c r="A53" t="s">
        <v>34</v>
      </c>
      <c r="B53" s="16">
        <v>45146.720999999998</v>
      </c>
      <c r="C53" s="7">
        <v>54</v>
      </c>
      <c r="D53" t="s">
        <v>27</v>
      </c>
    </row>
    <row r="54" spans="1:4" x14ac:dyDescent="0.25">
      <c r="A54" t="s">
        <v>34</v>
      </c>
      <c r="B54" s="16">
        <v>45146.720999999998</v>
      </c>
      <c r="C54" s="7">
        <v>48</v>
      </c>
      <c r="D54" t="s">
        <v>31</v>
      </c>
    </row>
    <row r="55" spans="1:4" x14ac:dyDescent="0.25">
      <c r="A55" t="s">
        <v>35</v>
      </c>
      <c r="B55" s="16">
        <v>45146.718000000001</v>
      </c>
      <c r="C55" s="7">
        <v>62</v>
      </c>
      <c r="D55" t="s">
        <v>27</v>
      </c>
    </row>
    <row r="56" spans="1:4" x14ac:dyDescent="0.25">
      <c r="A56" t="s">
        <v>34</v>
      </c>
      <c r="B56" s="16">
        <v>45146.712</v>
      </c>
      <c r="C56" s="7">
        <v>99</v>
      </c>
      <c r="D56" t="s">
        <v>27</v>
      </c>
    </row>
    <row r="57" spans="1:4" x14ac:dyDescent="0.25">
      <c r="A57" t="s">
        <v>35</v>
      </c>
      <c r="B57" s="16">
        <v>45146.705000000002</v>
      </c>
      <c r="C57" s="7">
        <v>62.5</v>
      </c>
      <c r="D57" t="s">
        <v>31</v>
      </c>
    </row>
    <row r="58" spans="1:4" x14ac:dyDescent="0.25">
      <c r="A58" t="s">
        <v>35</v>
      </c>
      <c r="B58" s="16">
        <v>45146.703000000001</v>
      </c>
      <c r="C58" s="7">
        <v>51</v>
      </c>
      <c r="D58" t="s">
        <v>31</v>
      </c>
    </row>
    <row r="59" spans="1:4" x14ac:dyDescent="0.25">
      <c r="A59" t="s">
        <v>35</v>
      </c>
      <c r="B59" s="16">
        <v>45146.701999999997</v>
      </c>
      <c r="C59" s="7">
        <v>72</v>
      </c>
      <c r="D59" t="s">
        <v>31</v>
      </c>
    </row>
    <row r="60" spans="1:4" x14ac:dyDescent="0.25">
      <c r="A60" t="s">
        <v>34</v>
      </c>
      <c r="B60" s="16">
        <v>45146.701000000001</v>
      </c>
      <c r="C60" s="7">
        <v>54</v>
      </c>
      <c r="D60" t="s">
        <v>27</v>
      </c>
    </row>
    <row r="61" spans="1:4" x14ac:dyDescent="0.25">
      <c r="A61" t="s">
        <v>34</v>
      </c>
      <c r="B61" s="16">
        <v>45146.686999999998</v>
      </c>
      <c r="C61" s="7">
        <v>60</v>
      </c>
      <c r="D61" t="s">
        <v>31</v>
      </c>
    </row>
    <row r="62" spans="1:4" x14ac:dyDescent="0.25">
      <c r="A62" t="s">
        <v>35</v>
      </c>
      <c r="B62" s="16">
        <v>45146.686000000002</v>
      </c>
      <c r="C62" s="7">
        <v>30.5</v>
      </c>
      <c r="D62" t="s">
        <v>27</v>
      </c>
    </row>
    <row r="63" spans="1:4" x14ac:dyDescent="0.25">
      <c r="A63" t="s">
        <v>34</v>
      </c>
      <c r="B63" s="16">
        <v>45146.686000000002</v>
      </c>
      <c r="C63" s="7">
        <v>93</v>
      </c>
      <c r="D63" t="s">
        <v>31</v>
      </c>
    </row>
    <row r="64" spans="1:4" x14ac:dyDescent="0.25">
      <c r="A64" t="s">
        <v>34</v>
      </c>
      <c r="B64" s="16">
        <v>45146.682000000001</v>
      </c>
      <c r="C64" s="7">
        <v>99</v>
      </c>
      <c r="D64" t="s">
        <v>31</v>
      </c>
    </row>
    <row r="65" spans="1:4" x14ac:dyDescent="0.25">
      <c r="A65" t="s">
        <v>34</v>
      </c>
      <c r="B65" s="16">
        <v>45146.68</v>
      </c>
      <c r="C65" s="7">
        <v>33</v>
      </c>
      <c r="D65" t="s">
        <v>27</v>
      </c>
    </row>
    <row r="66" spans="1:4" x14ac:dyDescent="0.25">
      <c r="A66" t="s">
        <v>35</v>
      </c>
      <c r="B66" s="16">
        <v>45146.673000000003</v>
      </c>
      <c r="C66" s="7">
        <v>51</v>
      </c>
      <c r="D66" t="s">
        <v>31</v>
      </c>
    </row>
    <row r="67" spans="1:4" x14ac:dyDescent="0.25">
      <c r="A67" t="s">
        <v>35</v>
      </c>
      <c r="B67" s="16">
        <v>45146.671999999999</v>
      </c>
      <c r="C67" s="7">
        <v>30.5</v>
      </c>
      <c r="D67" t="s">
        <v>31</v>
      </c>
    </row>
    <row r="68" spans="1:4" x14ac:dyDescent="0.25">
      <c r="A68" t="s">
        <v>35</v>
      </c>
      <c r="B68" s="16">
        <v>45146.663</v>
      </c>
      <c r="C68" s="7">
        <v>114</v>
      </c>
      <c r="D68" t="s">
        <v>27</v>
      </c>
    </row>
    <row r="69" spans="1:4" x14ac:dyDescent="0.25">
      <c r="A69" t="s">
        <v>34</v>
      </c>
      <c r="B69" s="16">
        <v>45146.659</v>
      </c>
      <c r="C69" s="7">
        <v>93</v>
      </c>
      <c r="D69" t="s">
        <v>31</v>
      </c>
    </row>
    <row r="70" spans="1:4" x14ac:dyDescent="0.25">
      <c r="A70" t="s">
        <v>35</v>
      </c>
      <c r="B70" s="16">
        <v>45146.658000000003</v>
      </c>
      <c r="C70" s="7">
        <v>57</v>
      </c>
      <c r="D70" t="s">
        <v>27</v>
      </c>
    </row>
    <row r="71" spans="1:4" x14ac:dyDescent="0.25">
      <c r="A71" t="s">
        <v>34</v>
      </c>
      <c r="B71" s="16">
        <v>45146.656999999999</v>
      </c>
      <c r="C71" s="7">
        <v>96</v>
      </c>
      <c r="D71" t="s">
        <v>31</v>
      </c>
    </row>
    <row r="72" spans="1:4" x14ac:dyDescent="0.25">
      <c r="A72" t="s">
        <v>34</v>
      </c>
      <c r="B72" s="16">
        <v>45146.656999999999</v>
      </c>
      <c r="C72" s="7">
        <v>102</v>
      </c>
      <c r="D72" t="s">
        <v>31</v>
      </c>
    </row>
    <row r="73" spans="1:4" x14ac:dyDescent="0.25">
      <c r="A73" t="s">
        <v>35</v>
      </c>
      <c r="B73" s="16">
        <v>45146.654999999999</v>
      </c>
      <c r="C73" s="7">
        <v>40.5</v>
      </c>
      <c r="D73" t="s">
        <v>31</v>
      </c>
    </row>
    <row r="74" spans="1:4" x14ac:dyDescent="0.25">
      <c r="A74" t="s">
        <v>34</v>
      </c>
      <c r="B74" s="16">
        <v>45146.654000000002</v>
      </c>
      <c r="C74" s="7">
        <v>48</v>
      </c>
      <c r="D74" t="s">
        <v>31</v>
      </c>
    </row>
    <row r="75" spans="1:4" x14ac:dyDescent="0.25">
      <c r="A75" t="s">
        <v>35</v>
      </c>
      <c r="B75" s="16">
        <v>45146.65</v>
      </c>
      <c r="C75" s="7">
        <v>47.5</v>
      </c>
      <c r="D75" t="s">
        <v>31</v>
      </c>
    </row>
    <row r="76" spans="1:4" x14ac:dyDescent="0.25">
      <c r="A76" t="s">
        <v>35</v>
      </c>
      <c r="B76" s="16">
        <v>45146.646999999997</v>
      </c>
      <c r="C76" s="7">
        <v>67.5</v>
      </c>
      <c r="D76" t="s">
        <v>31</v>
      </c>
    </row>
    <row r="77" spans="1:4" x14ac:dyDescent="0.25">
      <c r="A77" t="s">
        <v>35</v>
      </c>
      <c r="B77" s="16">
        <v>45146.646000000001</v>
      </c>
      <c r="C77" s="7">
        <v>42</v>
      </c>
      <c r="D77" t="s">
        <v>27</v>
      </c>
    </row>
    <row r="78" spans="1:4" x14ac:dyDescent="0.25">
      <c r="A78" t="s">
        <v>34</v>
      </c>
      <c r="B78" s="16">
        <v>45146.644</v>
      </c>
      <c r="C78" s="7">
        <v>54</v>
      </c>
      <c r="D78" t="s">
        <v>27</v>
      </c>
    </row>
    <row r="79" spans="1:4" x14ac:dyDescent="0.25">
      <c r="A79" t="s">
        <v>34</v>
      </c>
      <c r="B79" s="16">
        <v>45146.642</v>
      </c>
      <c r="C79" s="7">
        <v>39</v>
      </c>
      <c r="D79" t="s">
        <v>31</v>
      </c>
    </row>
    <row r="80" spans="1:4" x14ac:dyDescent="0.25">
      <c r="A80" t="s">
        <v>34</v>
      </c>
      <c r="B80" s="16">
        <v>45146.642</v>
      </c>
      <c r="C80" s="7">
        <v>42</v>
      </c>
      <c r="D80" t="s">
        <v>27</v>
      </c>
    </row>
    <row r="81" spans="1:4" x14ac:dyDescent="0.25">
      <c r="A81" t="s">
        <v>35</v>
      </c>
      <c r="B81" s="16">
        <v>45146.635999999999</v>
      </c>
      <c r="C81" s="7">
        <v>55.5</v>
      </c>
      <c r="D81" t="s">
        <v>27</v>
      </c>
    </row>
    <row r="82" spans="1:4" x14ac:dyDescent="0.25">
      <c r="A82" t="s">
        <v>35</v>
      </c>
      <c r="B82" s="16">
        <v>45146.633000000002</v>
      </c>
      <c r="C82" s="7">
        <v>51</v>
      </c>
      <c r="D82" t="s">
        <v>31</v>
      </c>
    </row>
    <row r="83" spans="1:4" x14ac:dyDescent="0.25">
      <c r="A83" t="s">
        <v>35</v>
      </c>
      <c r="B83" s="16">
        <v>45146.631000000001</v>
      </c>
      <c r="C83" s="7">
        <v>67</v>
      </c>
      <c r="D83" t="s">
        <v>27</v>
      </c>
    </row>
    <row r="84" spans="1:4" x14ac:dyDescent="0.25">
      <c r="A84" t="s">
        <v>35</v>
      </c>
      <c r="B84" s="16">
        <v>45146.631000000001</v>
      </c>
      <c r="C84" s="7">
        <v>42</v>
      </c>
      <c r="D84" t="s">
        <v>31</v>
      </c>
    </row>
    <row r="85" spans="1:4" x14ac:dyDescent="0.25">
      <c r="A85" t="s">
        <v>35</v>
      </c>
      <c r="B85" s="16">
        <v>45146.629000000001</v>
      </c>
      <c r="C85" s="7">
        <v>84</v>
      </c>
      <c r="D85" t="s">
        <v>27</v>
      </c>
    </row>
    <row r="86" spans="1:4" x14ac:dyDescent="0.25">
      <c r="A86" t="s">
        <v>34</v>
      </c>
      <c r="B86" s="16">
        <v>45146.627999999997</v>
      </c>
      <c r="C86" s="7">
        <v>96</v>
      </c>
      <c r="D86" t="s">
        <v>27</v>
      </c>
    </row>
    <row r="87" spans="1:4" x14ac:dyDescent="0.25">
      <c r="A87" t="s">
        <v>35</v>
      </c>
      <c r="B87" s="16">
        <v>45146.623</v>
      </c>
      <c r="C87" s="7">
        <v>47</v>
      </c>
      <c r="D87" t="s">
        <v>31</v>
      </c>
    </row>
    <row r="88" spans="1:4" x14ac:dyDescent="0.25">
      <c r="A88" t="s">
        <v>35</v>
      </c>
      <c r="B88" s="16">
        <v>45146.622000000003</v>
      </c>
      <c r="C88" s="7">
        <v>41.5</v>
      </c>
      <c r="D88" t="s">
        <v>31</v>
      </c>
    </row>
    <row r="89" spans="1:4" x14ac:dyDescent="0.25">
      <c r="A89" t="s">
        <v>35</v>
      </c>
      <c r="B89" s="16">
        <v>45146.616000000002</v>
      </c>
      <c r="C89" s="7">
        <v>55.5</v>
      </c>
      <c r="D89" t="s">
        <v>27</v>
      </c>
    </row>
    <row r="90" spans="1:4" x14ac:dyDescent="0.25">
      <c r="A90" t="s">
        <v>35</v>
      </c>
      <c r="B90" s="16">
        <v>45146.616000000002</v>
      </c>
      <c r="C90" s="7">
        <v>54</v>
      </c>
      <c r="D90" t="s">
        <v>27</v>
      </c>
    </row>
    <row r="91" spans="1:4" x14ac:dyDescent="0.25">
      <c r="A91" t="s">
        <v>35</v>
      </c>
      <c r="B91" s="16">
        <v>45146.614999999998</v>
      </c>
      <c r="C91" s="7">
        <v>42</v>
      </c>
      <c r="D91" t="s">
        <v>27</v>
      </c>
    </row>
    <row r="92" spans="1:4" x14ac:dyDescent="0.25">
      <c r="A92" t="s">
        <v>35</v>
      </c>
      <c r="B92" s="16">
        <v>45146.614000000001</v>
      </c>
      <c r="C92" s="7">
        <v>40.5</v>
      </c>
      <c r="D92" t="s">
        <v>27</v>
      </c>
    </row>
    <row r="93" spans="1:4" x14ac:dyDescent="0.25">
      <c r="A93" t="s">
        <v>35</v>
      </c>
      <c r="B93" s="16">
        <v>45146.612999999998</v>
      </c>
      <c r="C93" s="7">
        <v>87</v>
      </c>
      <c r="D93" t="s">
        <v>31</v>
      </c>
    </row>
    <row r="94" spans="1:4" x14ac:dyDescent="0.25">
      <c r="A94" t="s">
        <v>35</v>
      </c>
      <c r="B94" s="16">
        <v>45146.612000000001</v>
      </c>
      <c r="C94" s="7">
        <v>36</v>
      </c>
      <c r="D94" t="s">
        <v>31</v>
      </c>
    </row>
    <row r="95" spans="1:4" x14ac:dyDescent="0.25">
      <c r="A95" t="s">
        <v>35</v>
      </c>
      <c r="B95" s="16">
        <v>45146.610999999997</v>
      </c>
      <c r="C95" s="7">
        <v>42</v>
      </c>
      <c r="D95" t="s">
        <v>31</v>
      </c>
    </row>
    <row r="96" spans="1:4" x14ac:dyDescent="0.25">
      <c r="A96" t="s">
        <v>34</v>
      </c>
      <c r="B96" s="16">
        <v>45146.603999999999</v>
      </c>
      <c r="C96" s="7">
        <v>39</v>
      </c>
      <c r="D96" t="s">
        <v>31</v>
      </c>
    </row>
    <row r="97" spans="1:4" x14ac:dyDescent="0.25">
      <c r="A97" t="s">
        <v>35</v>
      </c>
      <c r="B97" s="16">
        <v>45146.603000000003</v>
      </c>
      <c r="C97" s="7">
        <v>45.5</v>
      </c>
      <c r="D97" t="s">
        <v>31</v>
      </c>
    </row>
    <row r="98" spans="1:4" x14ac:dyDescent="0.25">
      <c r="A98" t="s">
        <v>35</v>
      </c>
      <c r="B98" s="16">
        <v>45146.601000000002</v>
      </c>
      <c r="C98" s="7">
        <v>52</v>
      </c>
      <c r="D98" t="s">
        <v>31</v>
      </c>
    </row>
    <row r="99" spans="1:4" x14ac:dyDescent="0.25">
      <c r="A99" t="s">
        <v>35</v>
      </c>
      <c r="B99" s="16">
        <v>45146.601000000002</v>
      </c>
      <c r="C99" s="7">
        <v>72</v>
      </c>
      <c r="D99" t="s">
        <v>27</v>
      </c>
    </row>
    <row r="100" spans="1:4" x14ac:dyDescent="0.25">
      <c r="A100" t="s">
        <v>34</v>
      </c>
      <c r="B100" s="16">
        <v>45145.786999999997</v>
      </c>
      <c r="C100" s="7">
        <v>67.5</v>
      </c>
      <c r="D100" t="s">
        <v>31</v>
      </c>
    </row>
    <row r="101" spans="1:4" x14ac:dyDescent="0.25">
      <c r="A101" t="s">
        <v>34</v>
      </c>
      <c r="B101" s="16">
        <v>45145.756999999998</v>
      </c>
      <c r="C101" s="7">
        <v>62</v>
      </c>
      <c r="D101" t="s">
        <v>31</v>
      </c>
    </row>
    <row r="102" spans="1:4" x14ac:dyDescent="0.25">
      <c r="A102" t="s">
        <v>34</v>
      </c>
      <c r="B102" s="16">
        <v>45145.741000000002</v>
      </c>
      <c r="C102" s="7">
        <v>41</v>
      </c>
      <c r="D102" t="s">
        <v>27</v>
      </c>
    </row>
    <row r="103" spans="1:4" x14ac:dyDescent="0.25">
      <c r="A103" t="s">
        <v>34</v>
      </c>
      <c r="B103" s="16">
        <v>45145.735000000001</v>
      </c>
      <c r="C103" s="7">
        <v>52</v>
      </c>
      <c r="D103" t="s">
        <v>27</v>
      </c>
    </row>
    <row r="104" spans="1:4" x14ac:dyDescent="0.25">
      <c r="A104" t="s">
        <v>34</v>
      </c>
      <c r="B104" s="16">
        <v>45145.714</v>
      </c>
      <c r="C104" s="7">
        <v>50.5</v>
      </c>
      <c r="D104" t="s">
        <v>31</v>
      </c>
    </row>
    <row r="105" spans="1:4" x14ac:dyDescent="0.25">
      <c r="A105" t="s">
        <v>34</v>
      </c>
      <c r="B105" s="16">
        <v>45145.688000000002</v>
      </c>
      <c r="C105" s="7">
        <v>45.5</v>
      </c>
      <c r="D105" t="s">
        <v>27</v>
      </c>
    </row>
    <row r="106" spans="1:4" x14ac:dyDescent="0.25">
      <c r="A106" t="s">
        <v>34</v>
      </c>
      <c r="B106" s="16">
        <v>45145.675999999999</v>
      </c>
      <c r="C106" s="7">
        <v>42.5</v>
      </c>
      <c r="D106" t="s">
        <v>27</v>
      </c>
    </row>
    <row r="107" spans="1:4" x14ac:dyDescent="0.25">
      <c r="A107" t="s">
        <v>34</v>
      </c>
      <c r="B107" s="16">
        <v>45145.673999999999</v>
      </c>
      <c r="C107" s="7">
        <v>57.5</v>
      </c>
      <c r="D107" t="s">
        <v>27</v>
      </c>
    </row>
    <row r="108" spans="1:4" x14ac:dyDescent="0.25">
      <c r="A108" t="s">
        <v>34</v>
      </c>
      <c r="B108" s="16">
        <v>45145.671999999999</v>
      </c>
      <c r="C108" s="7">
        <v>47</v>
      </c>
      <c r="D108" t="s">
        <v>31</v>
      </c>
    </row>
    <row r="109" spans="1:4" x14ac:dyDescent="0.25">
      <c r="A109" t="s">
        <v>34</v>
      </c>
      <c r="B109" s="16">
        <v>45145.667000000001</v>
      </c>
      <c r="C109" s="7">
        <v>31</v>
      </c>
      <c r="D109" t="s">
        <v>27</v>
      </c>
    </row>
    <row r="110" spans="1:4" x14ac:dyDescent="0.25">
      <c r="A110" t="s">
        <v>34</v>
      </c>
      <c r="B110" s="16">
        <v>45145.665999999997</v>
      </c>
      <c r="C110" s="7">
        <v>45.5</v>
      </c>
      <c r="D110" t="s">
        <v>31</v>
      </c>
    </row>
    <row r="111" spans="1:4" x14ac:dyDescent="0.25">
      <c r="A111" t="s">
        <v>34</v>
      </c>
      <c r="B111" s="16">
        <v>45145.663999999997</v>
      </c>
      <c r="C111" s="7">
        <v>30.5</v>
      </c>
      <c r="D111" t="s">
        <v>31</v>
      </c>
    </row>
    <row r="112" spans="1:4" x14ac:dyDescent="0.25">
      <c r="A112" t="s">
        <v>34</v>
      </c>
      <c r="B112" s="16">
        <v>45145.661999999997</v>
      </c>
      <c r="C112" s="7">
        <v>67.5</v>
      </c>
      <c r="D112" t="s">
        <v>27</v>
      </c>
    </row>
    <row r="113" spans="1:4" x14ac:dyDescent="0.25">
      <c r="A113" t="s">
        <v>34</v>
      </c>
      <c r="B113" s="16">
        <v>45145.63</v>
      </c>
      <c r="C113" s="7">
        <v>52</v>
      </c>
      <c r="D113" t="s">
        <v>31</v>
      </c>
    </row>
    <row r="114" spans="1:4" x14ac:dyDescent="0.25">
      <c r="A114" t="s">
        <v>34</v>
      </c>
      <c r="B114" s="16">
        <v>45145.625999999997</v>
      </c>
      <c r="C114" s="7">
        <v>55.5</v>
      </c>
      <c r="D114" t="s">
        <v>31</v>
      </c>
    </row>
    <row r="115" spans="1:4" x14ac:dyDescent="0.25">
      <c r="A115" t="s">
        <v>34</v>
      </c>
      <c r="B115" s="16">
        <v>45145.618000000002</v>
      </c>
      <c r="C115" s="7">
        <v>50.5</v>
      </c>
      <c r="D115" t="s">
        <v>27</v>
      </c>
    </row>
    <row r="116" spans="1:4" x14ac:dyDescent="0.25">
      <c r="A116" t="s">
        <v>34</v>
      </c>
      <c r="B116" s="16">
        <v>45145.616999999998</v>
      </c>
      <c r="C116" s="7">
        <v>52.5</v>
      </c>
      <c r="D116" t="s">
        <v>31</v>
      </c>
    </row>
    <row r="117" spans="1:4" x14ac:dyDescent="0.25">
      <c r="A117" t="s">
        <v>34</v>
      </c>
      <c r="B117" s="16">
        <v>45145.614000000001</v>
      </c>
      <c r="C117" s="7">
        <v>35.5</v>
      </c>
      <c r="D117" t="s">
        <v>31</v>
      </c>
    </row>
    <row r="118" spans="1:4" x14ac:dyDescent="0.25">
      <c r="A118" t="s">
        <v>34</v>
      </c>
      <c r="B118" s="16">
        <v>45145.61</v>
      </c>
      <c r="C118" s="7">
        <v>47</v>
      </c>
      <c r="D118" t="s">
        <v>31</v>
      </c>
    </row>
    <row r="119" spans="1:4" x14ac:dyDescent="0.25">
      <c r="A119" t="s">
        <v>34</v>
      </c>
      <c r="B119" s="16">
        <v>45145.608</v>
      </c>
      <c r="C119" s="7">
        <v>52.5</v>
      </c>
      <c r="D119" t="s">
        <v>27</v>
      </c>
    </row>
    <row r="120" spans="1:4" x14ac:dyDescent="0.25">
      <c r="A120" t="s">
        <v>34</v>
      </c>
      <c r="B120" s="16">
        <v>45145.603000000003</v>
      </c>
      <c r="C120" s="7">
        <v>41.5</v>
      </c>
      <c r="D120" t="s">
        <v>31</v>
      </c>
    </row>
    <row r="121" spans="1:4" x14ac:dyDescent="0.25">
      <c r="A121" t="s">
        <v>34</v>
      </c>
      <c r="B121" s="16">
        <v>45145.601999999999</v>
      </c>
      <c r="C121" s="7">
        <v>40.5</v>
      </c>
      <c r="D121" t="s">
        <v>27</v>
      </c>
    </row>
    <row r="122" spans="1:4" x14ac:dyDescent="0.25">
      <c r="A122" t="s">
        <v>33</v>
      </c>
      <c r="B122" s="16">
        <v>45144.796999999999</v>
      </c>
      <c r="C122" s="7">
        <v>57.5</v>
      </c>
      <c r="D122" t="s">
        <v>27</v>
      </c>
    </row>
    <row r="123" spans="1:4" x14ac:dyDescent="0.25">
      <c r="A123" t="s">
        <v>33</v>
      </c>
      <c r="B123" s="16">
        <v>45144.794000000002</v>
      </c>
      <c r="C123" s="7">
        <v>41</v>
      </c>
      <c r="D123" t="s">
        <v>31</v>
      </c>
    </row>
    <row r="124" spans="1:4" x14ac:dyDescent="0.25">
      <c r="A124" t="s">
        <v>33</v>
      </c>
      <c r="B124" s="16">
        <v>45144.788</v>
      </c>
      <c r="C124" s="7">
        <v>36</v>
      </c>
      <c r="D124" t="s">
        <v>31</v>
      </c>
    </row>
    <row r="125" spans="1:4" x14ac:dyDescent="0.25">
      <c r="A125" t="s">
        <v>33</v>
      </c>
      <c r="B125" s="16">
        <v>45144.781000000003</v>
      </c>
      <c r="C125" s="7">
        <v>26</v>
      </c>
      <c r="D125" t="s">
        <v>31</v>
      </c>
    </row>
    <row r="126" spans="1:4" x14ac:dyDescent="0.25">
      <c r="A126" t="s">
        <v>33</v>
      </c>
      <c r="B126" s="16">
        <v>45144.779000000002</v>
      </c>
      <c r="C126" s="7">
        <v>35.5</v>
      </c>
      <c r="D126" t="s">
        <v>31</v>
      </c>
    </row>
    <row r="127" spans="1:4" x14ac:dyDescent="0.25">
      <c r="A127" t="s">
        <v>33</v>
      </c>
      <c r="B127" s="16">
        <v>45144.769</v>
      </c>
      <c r="C127" s="7">
        <v>72.5</v>
      </c>
      <c r="D127" t="s">
        <v>31</v>
      </c>
    </row>
    <row r="128" spans="1:4" x14ac:dyDescent="0.25">
      <c r="A128" t="s">
        <v>33</v>
      </c>
      <c r="B128" s="16">
        <v>45144.752</v>
      </c>
      <c r="C128" s="7">
        <v>67.5</v>
      </c>
      <c r="D128" t="s">
        <v>31</v>
      </c>
    </row>
    <row r="129" spans="1:4" x14ac:dyDescent="0.25">
      <c r="A129" t="s">
        <v>33</v>
      </c>
      <c r="B129" s="16">
        <v>45144.745000000003</v>
      </c>
      <c r="C129" s="7">
        <v>72.5</v>
      </c>
      <c r="D129" t="s">
        <v>31</v>
      </c>
    </row>
    <row r="130" spans="1:4" x14ac:dyDescent="0.25">
      <c r="A130" t="s">
        <v>33</v>
      </c>
      <c r="B130" s="16">
        <v>45144.735999999997</v>
      </c>
      <c r="C130" s="7">
        <v>56.5</v>
      </c>
      <c r="D130" t="s">
        <v>27</v>
      </c>
    </row>
    <row r="131" spans="1:4" x14ac:dyDescent="0.25">
      <c r="A131" t="s">
        <v>33</v>
      </c>
      <c r="B131" s="16">
        <v>45144.735000000001</v>
      </c>
      <c r="C131" s="7">
        <v>40.5</v>
      </c>
      <c r="D131" t="s">
        <v>31</v>
      </c>
    </row>
    <row r="132" spans="1:4" x14ac:dyDescent="0.25">
      <c r="A132" t="s">
        <v>33</v>
      </c>
      <c r="B132" s="16">
        <v>45144.73</v>
      </c>
      <c r="C132" s="7">
        <v>57</v>
      </c>
      <c r="D132" t="s">
        <v>31</v>
      </c>
    </row>
    <row r="133" spans="1:4" x14ac:dyDescent="0.25">
      <c r="A133" t="s">
        <v>33</v>
      </c>
      <c r="B133" s="16">
        <v>45144.724999999999</v>
      </c>
      <c r="C133" s="7">
        <v>40.5</v>
      </c>
      <c r="D133" t="s">
        <v>27</v>
      </c>
    </row>
    <row r="134" spans="1:4" x14ac:dyDescent="0.25">
      <c r="A134" t="s">
        <v>33</v>
      </c>
      <c r="B134" s="16">
        <v>45144.72</v>
      </c>
      <c r="C134" s="7">
        <v>62</v>
      </c>
      <c r="D134" t="s">
        <v>31</v>
      </c>
    </row>
    <row r="135" spans="1:4" x14ac:dyDescent="0.25">
      <c r="A135" t="s">
        <v>33</v>
      </c>
      <c r="B135" s="16">
        <v>45144.718000000001</v>
      </c>
      <c r="C135" s="7">
        <v>52</v>
      </c>
      <c r="D135" t="s">
        <v>31</v>
      </c>
    </row>
    <row r="136" spans="1:4" x14ac:dyDescent="0.25">
      <c r="A136" t="s">
        <v>33</v>
      </c>
      <c r="B136" s="16">
        <v>45144.713000000003</v>
      </c>
      <c r="C136" s="7">
        <v>61.5</v>
      </c>
      <c r="D136" t="s">
        <v>31</v>
      </c>
    </row>
    <row r="137" spans="1:4" x14ac:dyDescent="0.25">
      <c r="A137" t="s">
        <v>33</v>
      </c>
      <c r="B137" s="16">
        <v>45144.705999999998</v>
      </c>
      <c r="C137" s="7">
        <v>46.5</v>
      </c>
      <c r="D137" t="s">
        <v>31</v>
      </c>
    </row>
    <row r="138" spans="1:4" x14ac:dyDescent="0.25">
      <c r="A138" t="s">
        <v>33</v>
      </c>
      <c r="B138" s="16">
        <v>45144.703000000001</v>
      </c>
      <c r="C138" s="7">
        <v>20.5</v>
      </c>
      <c r="D138" t="s">
        <v>31</v>
      </c>
    </row>
    <row r="139" spans="1:4" x14ac:dyDescent="0.25">
      <c r="A139" t="s">
        <v>33</v>
      </c>
      <c r="B139" s="16">
        <v>45144.701000000001</v>
      </c>
      <c r="C139" s="7">
        <v>61.5</v>
      </c>
      <c r="D139" t="s">
        <v>27</v>
      </c>
    </row>
    <row r="140" spans="1:4" x14ac:dyDescent="0.25">
      <c r="A140" t="s">
        <v>33</v>
      </c>
      <c r="B140" s="16">
        <v>45144.694000000003</v>
      </c>
      <c r="C140" s="7">
        <v>46.5</v>
      </c>
      <c r="D140" t="s">
        <v>31</v>
      </c>
    </row>
    <row r="141" spans="1:4" x14ac:dyDescent="0.25">
      <c r="A141" t="s">
        <v>33</v>
      </c>
      <c r="B141" s="16">
        <v>45144.686999999998</v>
      </c>
      <c r="C141" s="7">
        <v>45.5</v>
      </c>
      <c r="D141" t="s">
        <v>31</v>
      </c>
    </row>
    <row r="142" spans="1:4" x14ac:dyDescent="0.25">
      <c r="A142" t="s">
        <v>33</v>
      </c>
      <c r="B142" s="16">
        <v>45144.673000000003</v>
      </c>
      <c r="C142" s="7">
        <v>57</v>
      </c>
      <c r="D142" t="s">
        <v>31</v>
      </c>
    </row>
    <row r="143" spans="1:4" x14ac:dyDescent="0.25">
      <c r="A143" t="s">
        <v>33</v>
      </c>
      <c r="B143" s="16">
        <v>45144.671000000002</v>
      </c>
      <c r="C143" s="7">
        <v>67</v>
      </c>
      <c r="D143" t="s">
        <v>27</v>
      </c>
    </row>
    <row r="144" spans="1:4" x14ac:dyDescent="0.25">
      <c r="A144" t="s">
        <v>33</v>
      </c>
      <c r="B144" s="16">
        <v>45144.66</v>
      </c>
      <c r="C144" s="7">
        <v>51</v>
      </c>
      <c r="D144" t="s">
        <v>31</v>
      </c>
    </row>
    <row r="145" spans="1:4" x14ac:dyDescent="0.25">
      <c r="A145" t="s">
        <v>33</v>
      </c>
      <c r="B145" s="16">
        <v>45144.659</v>
      </c>
      <c r="C145" s="7">
        <v>36.5</v>
      </c>
      <c r="D145" t="s">
        <v>31</v>
      </c>
    </row>
    <row r="146" spans="1:4" x14ac:dyDescent="0.25">
      <c r="A146" t="s">
        <v>33</v>
      </c>
      <c r="B146" s="16">
        <v>45144.659</v>
      </c>
      <c r="C146" s="7">
        <v>57</v>
      </c>
      <c r="D146" t="s">
        <v>27</v>
      </c>
    </row>
    <row r="147" spans="1:4" x14ac:dyDescent="0.25">
      <c r="A147" t="s">
        <v>33</v>
      </c>
      <c r="B147" s="16">
        <v>45144.652000000002</v>
      </c>
      <c r="C147" s="7">
        <v>35.5</v>
      </c>
      <c r="D147" t="s">
        <v>31</v>
      </c>
    </row>
    <row r="148" spans="1:4" x14ac:dyDescent="0.25">
      <c r="A148" t="s">
        <v>33</v>
      </c>
      <c r="B148" s="16">
        <v>45144.644999999997</v>
      </c>
      <c r="C148" s="7">
        <v>52</v>
      </c>
      <c r="D148" t="s">
        <v>31</v>
      </c>
    </row>
    <row r="149" spans="1:4" x14ac:dyDescent="0.25">
      <c r="A149" t="s">
        <v>33</v>
      </c>
      <c r="B149" s="16">
        <v>45144.633999999998</v>
      </c>
      <c r="C149" s="7">
        <v>26.5</v>
      </c>
      <c r="D149" t="s">
        <v>27</v>
      </c>
    </row>
    <row r="150" spans="1:4" x14ac:dyDescent="0.25">
      <c r="A150" t="s">
        <v>33</v>
      </c>
      <c r="B150" s="16">
        <v>45144.63</v>
      </c>
      <c r="C150" s="7">
        <v>52</v>
      </c>
      <c r="D150" t="s">
        <v>31</v>
      </c>
    </row>
    <row r="151" spans="1:4" x14ac:dyDescent="0.25">
      <c r="A151" t="s">
        <v>33</v>
      </c>
      <c r="B151" s="16">
        <v>45144.623</v>
      </c>
      <c r="C151" s="7">
        <v>47</v>
      </c>
      <c r="D151" t="s">
        <v>27</v>
      </c>
    </row>
    <row r="152" spans="1:4" x14ac:dyDescent="0.25">
      <c r="A152" t="s">
        <v>33</v>
      </c>
      <c r="B152" s="16">
        <v>45144.622000000003</v>
      </c>
      <c r="C152" s="7">
        <v>67.5</v>
      </c>
      <c r="D152" t="s">
        <v>31</v>
      </c>
    </row>
    <row r="153" spans="1:4" x14ac:dyDescent="0.25">
      <c r="A153" t="s">
        <v>33</v>
      </c>
      <c r="B153" s="16">
        <v>45144.61</v>
      </c>
      <c r="C153" s="7">
        <v>57</v>
      </c>
      <c r="D153" t="s">
        <v>31</v>
      </c>
    </row>
    <row r="154" spans="1:4" x14ac:dyDescent="0.25">
      <c r="A154" t="s">
        <v>33</v>
      </c>
      <c r="B154" s="16">
        <v>45144.607000000004</v>
      </c>
      <c r="C154" s="7">
        <v>62</v>
      </c>
      <c r="D154" t="s">
        <v>27</v>
      </c>
    </row>
    <row r="155" spans="1:4" x14ac:dyDescent="0.25">
      <c r="A155" t="s">
        <v>33</v>
      </c>
      <c r="B155" s="16">
        <v>45144.606</v>
      </c>
      <c r="C155" s="7">
        <v>56</v>
      </c>
      <c r="D155" t="s">
        <v>31</v>
      </c>
    </row>
    <row r="156" spans="1:4" s="15" customFormat="1" x14ac:dyDescent="0.25">
      <c r="C156" s="7"/>
    </row>
    <row r="157" spans="1:4" s="15" customFormat="1" x14ac:dyDescent="0.25">
      <c r="C157" s="7"/>
    </row>
    <row r="158" spans="1:4" s="15" customFormat="1" x14ac:dyDescent="0.25">
      <c r="C158" s="7"/>
    </row>
    <row r="159" spans="1:4" s="15" customFormat="1" x14ac:dyDescent="0.25">
      <c r="C159" s="7"/>
    </row>
  </sheetData>
  <sortState xmlns:xlrd2="http://schemas.microsoft.com/office/spreadsheetml/2017/richdata2" ref="A4:D155">
    <sortCondition descending="1" ref="B4:B155"/>
  </sortState>
  <mergeCells count="1">
    <mergeCell ref="A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FF0B8-769C-4210-8793-916E66A066A3}">
  <sheetPr codeName="Planilha5"/>
  <dimension ref="A7:B24"/>
  <sheetViews>
    <sheetView workbookViewId="0">
      <selection activeCell="F19" sqref="F19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7" spans="1:2" x14ac:dyDescent="0.25">
      <c r="A7" s="20" t="s">
        <v>40</v>
      </c>
      <c r="B7" t="s">
        <v>39</v>
      </c>
    </row>
    <row r="8" spans="1:2" x14ac:dyDescent="0.25">
      <c r="A8" s="21" t="s">
        <v>31</v>
      </c>
      <c r="B8">
        <v>5165.5</v>
      </c>
    </row>
    <row r="9" spans="1:2" x14ac:dyDescent="0.25">
      <c r="A9" s="21" t="s">
        <v>27</v>
      </c>
      <c r="B9">
        <v>3138</v>
      </c>
    </row>
    <row r="10" spans="1:2" x14ac:dyDescent="0.25">
      <c r="A10" s="21" t="s">
        <v>41</v>
      </c>
      <c r="B10">
        <v>8303.5</v>
      </c>
    </row>
    <row r="12" spans="1:2" x14ac:dyDescent="0.25">
      <c r="A12" s="20" t="s">
        <v>40</v>
      </c>
      <c r="B12" t="s">
        <v>39</v>
      </c>
    </row>
    <row r="13" spans="1:2" x14ac:dyDescent="0.25">
      <c r="A13" s="21" t="s">
        <v>33</v>
      </c>
      <c r="B13">
        <v>2786</v>
      </c>
    </row>
    <row r="14" spans="1:2" x14ac:dyDescent="0.25">
      <c r="A14" s="21" t="s">
        <v>34</v>
      </c>
      <c r="B14">
        <v>2786.5</v>
      </c>
    </row>
    <row r="15" spans="1:2" x14ac:dyDescent="0.25">
      <c r="A15" s="21" t="s">
        <v>35</v>
      </c>
      <c r="B15">
        <v>2731</v>
      </c>
    </row>
    <row r="16" spans="1:2" x14ac:dyDescent="0.25">
      <c r="A16" s="21" t="s">
        <v>41</v>
      </c>
      <c r="B16">
        <v>8303.5</v>
      </c>
    </row>
    <row r="19" spans="1:2" x14ac:dyDescent="0.25">
      <c r="A19" s="20" t="s">
        <v>40</v>
      </c>
      <c r="B19" t="s">
        <v>39</v>
      </c>
    </row>
    <row r="20" spans="1:2" x14ac:dyDescent="0.25">
      <c r="A20" s="21" t="s">
        <v>43</v>
      </c>
      <c r="B20">
        <v>1723</v>
      </c>
    </row>
    <row r="21" spans="1:2" x14ac:dyDescent="0.25">
      <c r="A21" s="21" t="s">
        <v>44</v>
      </c>
      <c r="B21">
        <v>1067.5</v>
      </c>
    </row>
    <row r="22" spans="1:2" x14ac:dyDescent="0.25">
      <c r="A22" s="21" t="s">
        <v>45</v>
      </c>
      <c r="B22">
        <v>4450</v>
      </c>
    </row>
    <row r="23" spans="1:2" x14ac:dyDescent="0.25">
      <c r="A23" s="21" t="s">
        <v>46</v>
      </c>
      <c r="B23">
        <v>1063</v>
      </c>
    </row>
    <row r="24" spans="1:2" x14ac:dyDescent="0.25">
      <c r="A24" s="21" t="s">
        <v>41</v>
      </c>
      <c r="B24">
        <v>8303.5</v>
      </c>
    </row>
  </sheetData>
  <pageMargins left="0.511811024" right="0.511811024" top="0.78740157499999996" bottom="0.78740157499999996" header="0.31496062000000002" footer="0.31496062000000002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E98D-0876-4B3C-A194-3FC584C7099E}">
  <sheetPr codeName="Planilha6"/>
  <dimension ref="A1:A2"/>
  <sheetViews>
    <sheetView showGridLines="0" showRowColHeaders="0" workbookViewId="0">
      <selection activeCell="X23" sqref="X23"/>
    </sheetView>
  </sheetViews>
  <sheetFormatPr defaultRowHeight="15" x14ac:dyDescent="0.25"/>
  <sheetData>
    <row r="1" spans="1:1" s="1" customFormat="1" ht="31.5" x14ac:dyDescent="0.5">
      <c r="A1" s="2" t="s">
        <v>0</v>
      </c>
    </row>
    <row r="2" spans="1:1" s="5" customFormat="1" ht="18.75" x14ac:dyDescent="0.3">
      <c r="A2" s="4" t="s">
        <v>42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comanda</vt:lpstr>
      <vt:lpstr>cardapio</vt:lpstr>
      <vt:lpstr>relatorio</vt:lpstr>
      <vt:lpstr>bi</vt:lpstr>
      <vt:lpstr>Graficos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2023-08-10T19:29:06Z</dcterms:modified>
</cp:coreProperties>
</file>